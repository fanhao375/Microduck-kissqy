
<file path=[Content_Types].xml><?xml version="1.0" encoding="utf-8"?>
<Types xmlns="http://schemas.openxmlformats.org/package/2006/content-types">
  <Default Extension="fntdata" ContentType="application/x-fontdata"/>
  <Default Extension="jpeg" ContentType="image/jpeg"/>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4.xml" ContentType="application/vnd.openxmlformats-officedocument.spreadsheetml.worksheet+xml"/>
  <Override PartName="/xl/worksheets/sheet7.xml" ContentType="application/vnd.openxmlformats-officedocument.spreadsheetml.worksheet+xml"/>
  <Override PartName="/xl/worksheets/sheet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tables/table5.xml" ContentType="application/vnd.openxmlformats-officedocument.spreadsheetml.table+xml"/>
  <Override PartName="/xl/tables/table6.xml" ContentType="application/vnd.openxmlformats-officedocument.spreadsheetml.table+xml"/>
  <Override PartName="/xl/tables/table3.xml" ContentType="application/vnd.openxmlformats-officedocument.spreadsheetml.table+xml"/>
  <Override PartName="/xl/tables/table7.xml" ContentType="application/vnd.openxmlformats-officedocument.spreadsheetml.table+xml"/>
  <Override PartName="/xl/tables/table8.xml" ContentType="application/vnd.openxmlformats-officedocument.spreadsheetml.table+xml"/>
  <Override PartName="/xl/tables/table1.xml" ContentType="application/vnd.openxmlformats-officedocument.spreadsheetml.table+xml"/>
  <Override PartName="/xl/tables/table2.xml" ContentType="application/vnd.openxmlformats-officedocument.spreadsheetml.table+xml"/>
  <Override PartName="/xl/tables/table4.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合并采购清单" sheetId="1" state="visible" r:id="rId3"/>
    <sheet name="HAT位号BOM" sheetId="2" state="visible" r:id="rId4"/>
    <sheet name="IMU位号BOM" sheetId="3" state="visible" r:id="rId5"/>
    <sheet name="配件与耗材" sheetId="4" state="visible" r:id="rId6"/>
    <sheet name="订单匹配依据" sheetId="5" state="visible" r:id="rId7"/>
    <sheet name="制作工具与耗材" sheetId="6" state="visible" r:id="rId8"/>
    <sheet name="制作成本" sheetId="7" state="visible" r:id="rId9"/>
    <sheet name="鸭子本体合计" sheetId="8" state="visible" r:id="rId10"/>
  </sheets>
  <calcPr iterateCount="100" refMode="A1" iterate="false" iterateDelta="0.001"/>
  <extLst>
    <ext xmlns:loext="http://schemas.libreoffice.org/" uri="{7626C862-2A13-11E5-B345-FEFF819CDC9F}">
      <loext:extCalcPr stringRefSyntax="CalcA1ExcelA1"/>
    </ext>
  </extLst>
</workbook>
</file>

<file path=xl/sharedStrings.xml><?xml version="1.0" encoding="utf-8"?>
<sst xmlns="http://schemas.openxmlformats.org/spreadsheetml/2006/main" count="2406" uniqueCount="1050">
  <si>
    <t xml:space="preserve">Microduck 鸭子用料与制作工具采购清单</t>
  </si>
  <si>
    <t xml:space="preserve">2026-10-13  |  HAT-V5（含后续用料记录）+ IMU-TO-DLX-V2</t>
  </si>
  <si>
    <t xml:space="preserve">HAT块数</t>
  </si>
  <si>
    <t xml:space="preserve">IMU块数</t>
  </si>
  <si>
    <t xml:space="preserve">器件总数</t>
  </si>
  <si>
    <t xml:space="preserve">修改块数可重算用量。单套：HAT 84 个器件 + IMU 25 个器件。</t>
  </si>
  <si>
    <t xml:space="preserve">采购商品由作者确认已实测可用。按列明的商品型号和订单款式购买。</t>
  </si>
  <si>
    <t xml:space="preserve">R33按0Ω采购；TH1可使用原村田PRG18BB101MB1RB（100Ω PTC，0603）。原工程属性保留在位号表。</t>
  </si>
  <si>
    <t xml:space="preserve">类别</t>
  </si>
  <si>
    <t xml:space="preserve">工程型号 / 当前用料</t>
  </si>
  <si>
    <t xml:space="preserve">封装与关键规格</t>
  </si>
  <si>
    <t xml:space="preserve">HAT单板(个)</t>
  </si>
  <si>
    <t xml:space="preserve">IMU单板(个)</t>
  </si>
  <si>
    <t xml:space="preserve">本次需求(个)</t>
  </si>
  <si>
    <t xml:space="preserve">HAT位号</t>
  </si>
  <si>
    <t xml:space="preserve">IMU位号</t>
  </si>
  <si>
    <t xml:space="preserve">订单店铺</t>
  </si>
  <si>
    <t xml:space="preserve">订单商品链接</t>
  </si>
  <si>
    <t xml:space="preserve">必须选择的订单款式</t>
  </si>
  <si>
    <t xml:space="preserve">每拍含量(个)</t>
  </si>
  <si>
    <t xml:space="preserve">按此款式最少拍数</t>
  </si>
  <si>
    <t xml:space="preserve">工程型号参考链接</t>
  </si>
  <si>
    <t xml:space="preserve">购买说明</t>
  </si>
  <si>
    <t xml:space="preserve">电容</t>
  </si>
  <si>
    <t xml:space="preserve">CC0603KRX5R9BB105</t>
  </si>
  <si>
    <t xml:space="preserve">0603；1uF / ±10% / 50V / X5R</t>
  </si>
  <si>
    <t xml:space="preserve">C1, C2, C3, C4, C6, C10, C27, C29, C31, C33, C35, C40, C41, C42, C43</t>
  </si>
  <si>
    <t xml:space="preserve">深圳市宏宸电子</t>
  </si>
  <si>
    <t xml:space="preserve">0603 1uF ±10% X7R;50V</t>
  </si>
  <si>
    <t xml:space="preserve">实际采购：0603 / 1uF / ±10% / 50V / X7R。</t>
  </si>
  <si>
    <t xml:space="preserve">C1608X5R1A106KT000E</t>
  </si>
  <si>
    <t xml:space="preserve">0603；10uF / ±10% / 10V / X5R</t>
  </si>
  <si>
    <t xml:space="preserve">C5, C7, C12, C13, C37</t>
  </si>
  <si>
    <t xml:space="preserve">0603 10uF ±10% X5R;10V</t>
  </si>
  <si>
    <t xml:space="preserve">实际采购：0603 / 10uF / ±10% / 10V / X5R。</t>
  </si>
  <si>
    <t xml:space="preserve">0603CG221J500NT</t>
  </si>
  <si>
    <t xml:space="preserve">0603；220pF / ±5% / 50V / C0G</t>
  </si>
  <si>
    <t xml:space="preserve">C8, C9</t>
  </si>
  <si>
    <t xml:space="preserve">0603 220pF ±5% NPO/COG;50V;100个</t>
  </si>
  <si>
    <t xml:space="preserve">选 220pF、50V、C0G(NPO)、±5%、0603；同页其他容量分别选购。</t>
  </si>
  <si>
    <t xml:space="preserve">CC0603KRX7R9BB104</t>
  </si>
  <si>
    <t xml:space="preserve">0603；100nF / ±10% / 50V / X7R</t>
  </si>
  <si>
    <t xml:space="preserve">C11, C14, C16, C17, C18, C20, C26, C28, C30, C32, C36, C38, C39</t>
  </si>
  <si>
    <t xml:space="preserve">0603 100nF ±10% X7R;50V;100个</t>
  </si>
  <si>
    <t xml:space="preserve">实际采购：0603 / 100nF / ±10% / 50V / X7R。</t>
  </si>
  <si>
    <t xml:space="preserve">C3216X7R1V106KT000E</t>
  </si>
  <si>
    <t xml:space="preserve">1206；10uF / ±10% / 35V / X7R</t>
  </si>
  <si>
    <t xml:space="preserve">C15</t>
  </si>
  <si>
    <t xml:space="preserve">1206 10UF ±10% X7R;35V</t>
  </si>
  <si>
    <t xml:space="preserve">C15 使用 1206、10uF、35V、X7R 款式。</t>
  </si>
  <si>
    <t xml:space="preserve">GRM188R61A226ME15D</t>
  </si>
  <si>
    <t xml:space="preserve">0603；22uF / ±20% / 10V / X5R</t>
  </si>
  <si>
    <t xml:space="preserve">C21, C22</t>
  </si>
  <si>
    <t xml:space="preserve">优好电子</t>
  </si>
  <si>
    <t xml:space="preserve">22UF 226K 10% X5R;10V;0603=100个</t>
  </si>
  <si>
    <t xml:space="preserve">实际采购：0603 / 22uF / ±10% / 10V / X5R。</t>
  </si>
  <si>
    <t xml:space="preserve">CC0603KRX7R9BB103</t>
  </si>
  <si>
    <t xml:space="preserve">0603；10nF / ±10% / 50V / X7R</t>
  </si>
  <si>
    <t xml:space="preserve">C34</t>
  </si>
  <si>
    <t xml:space="preserve">欧贝顿旗舰店</t>
  </si>
  <si>
    <t xml:space="preserve">0603 10NF 50V 10% 100个</t>
  </si>
  <si>
    <t xml:space="preserve">实际采购：0603 / 10nF / ±10% / 50V / X7R。</t>
  </si>
  <si>
    <t xml:space="preserve">半导体</t>
  </si>
  <si>
    <t xml:space="preserve">BAT54SW,115</t>
  </si>
  <si>
    <t xml:space="preserve">SOT-323；二极管配置:1对串联式；正向压降(Vf):800mV@100mA；直流反向耐压(Vr):30V；整流电流:200mA</t>
  </si>
  <si>
    <t xml:space="preserve">D1</t>
  </si>
  <si>
    <t xml:space="preserve">深圳市乐桥微科技</t>
  </si>
  <si>
    <t xml:space="preserve">BAT54SW 印字44t（20只）</t>
  </si>
  <si>
    <t xml:space="preserve">选择 BAT54SW / SOT-323 款式。</t>
  </si>
  <si>
    <t xml:space="preserve">BZT52C5V1S-7-F</t>
  </si>
  <si>
    <t xml:space="preserve">SOD-323；二极管配置:1个独立式；稳压值(标称值):5.1V；稳压值(范围值):4.8V~5.4V；耗散功率(Pd):200mW</t>
  </si>
  <si>
    <t xml:space="preserve">D4</t>
  </si>
  <si>
    <t xml:space="preserve">稳泊仕旗舰店</t>
  </si>
  <si>
    <t xml:space="preserve">BZT52C5V1S W8 SOD-323 (50个)</t>
  </si>
  <si>
    <t xml:space="preserve">选择 BZT52C5V1S / 5.1V / SOD-323 款式。</t>
  </si>
  <si>
    <t xml:space="preserve">磁珠</t>
  </si>
  <si>
    <t xml:space="preserve">BLM18KG601SN1D</t>
  </si>
  <si>
    <t xml:space="preserve">0603；±25% / 600Ω@100MHz / 1.3A</t>
  </si>
  <si>
    <t xml:space="preserve">FB1</t>
  </si>
  <si>
    <t xml:space="preserve">科芯奇旗舰店</t>
  </si>
  <si>
    <t xml:space="preserve">0603_600R_1.3A_±25%【100只】</t>
  </si>
  <si>
    <t xml:space="preserve">实际采购：0603 / 600Ω@100MHz / 1.3A / ±25%。</t>
  </si>
  <si>
    <t xml:space="preserve">PE-0603PFB121ST</t>
  </si>
  <si>
    <t xml:space="preserve">0603；±25% / 120Ω@100MHz / 2A</t>
  </si>
  <si>
    <t xml:space="preserve">FB2, FB3</t>
  </si>
  <si>
    <t xml:space="preserve">0603_120R_2A_±25%【100只】</t>
  </si>
  <si>
    <t xml:space="preserve">实际采购：0603 / 120Ω@100MHz / 2A / ±25%。</t>
  </si>
  <si>
    <t xml:space="preserve">连接器</t>
  </si>
  <si>
    <t xml:space="preserve">B2B-EH-A(LF)(SN)</t>
  </si>
  <si>
    <t xml:space="preserve">插件,P=2.5mm；250V / 3A</t>
  </si>
  <si>
    <t xml:space="preserve">J1, J2, J9</t>
  </si>
  <si>
    <t xml:space="preserve">启色数码旗舰店</t>
  </si>
  <si>
    <t xml:space="preserve">EH2.5MM 2P直针座（50个）</t>
  </si>
  <si>
    <t xml:space="preserve">EH 2P 直针座；按 EH2.5MM 2P 直针座选项购买。</t>
  </si>
  <si>
    <t xml:space="preserve">FH-00339</t>
  </si>
  <si>
    <t xml:space="preserve">SMD,P=2.54mm；3A</t>
  </si>
  <si>
    <t xml:space="preserve">J4</t>
  </si>
  <si>
    <t xml:space="preserve">海雀数码专营店</t>
  </si>
  <si>
    <t xml:space="preserve">2*20P 贴片排母【2个】</t>
  </si>
  <si>
    <t xml:space="preserve">双排 2×20P、2.54mm、贴片排母，安装在 HAT 底面。</t>
  </si>
  <si>
    <t xml:space="preserve">BM04B-SRSS-TB(LF)(SN)</t>
  </si>
  <si>
    <t xml:space="preserve">SMD,P=1mm；50V / 1A</t>
  </si>
  <si>
    <t xml:space="preserve">J5</t>
  </si>
  <si>
    <t xml:space="preserve">信容芯旗舰店</t>
  </si>
  <si>
    <t xml:space="preserve">4P立贴（15个）</t>
  </si>
  <si>
    <t xml:space="preserve">SH1.0 / 4P / 立贴，按“4P立贴（15个）”选项购买。</t>
  </si>
  <si>
    <t xml:space="preserve">B3B-EH-A(LF)(SN)</t>
  </si>
  <si>
    <t xml:space="preserve">J13, J14</t>
  </si>
  <si>
    <t xml:space="preserve">J1</t>
  </si>
  <si>
    <t xml:space="preserve">EH2.5MM 3P直针座（50个）</t>
  </si>
  <si>
    <t xml:space="preserve">EH 3P 直针座，HAT 两只、IMU 一只。</t>
  </si>
  <si>
    <t xml:space="preserve">电感</t>
  </si>
  <si>
    <t xml:space="preserve">SWPA6045S6R8MT</t>
  </si>
  <si>
    <t xml:space="preserve">SMD,6x6mm；6.8uH / ±20% / 3A</t>
  </si>
  <si>
    <t xml:space="preserve">L4</t>
  </si>
  <si>
    <t xml:space="preserve">迪林旗舰店</t>
  </si>
  <si>
    <t xml:space="preserve">合金0630 6.8UH 印6R8 10个 6A 一体</t>
  </si>
  <si>
    <t xml:space="preserve">实际使用：合金0630、6.8uH、6A一体成型电感（订单标称）。</t>
  </si>
  <si>
    <t xml:space="preserve">麦克风</t>
  </si>
  <si>
    <t xml:space="preserve">LMA2718T421-OA5-2</t>
  </si>
  <si>
    <t xml:space="preserve">SMD-4P,2.8x1.9mm；指向性:全指向；信噪比:55dB；灵敏度:-42dB；阻抗:300Ω</t>
  </si>
  <si>
    <t xml:space="preserve">MK1</t>
  </si>
  <si>
    <t xml:space="preserve">深圳市华源芯电子有限公司 电子元器件配单</t>
  </si>
  <si>
    <t xml:space="preserve">2718 上进音 硅麦克风【2个】</t>
  </si>
  <si>
    <t xml:space="preserve">实际使用：2718 上进音模拟 MEMS 麦克风，按“2718 上进音 硅麦克风【2个】”购买。</t>
  </si>
  <si>
    <t xml:space="preserve">MMBT3906</t>
  </si>
  <si>
    <t xml:space="preserve">SOT-23；晶体管类型:PNP；集电极电流(Ic):200mA；集射极击穿电压(Vceo):40V；耗散功率(Pd):200mW；直流电流增益(hFE):100@10mA,1V</t>
  </si>
  <si>
    <t xml:space="preserve">Q1</t>
  </si>
  <si>
    <t xml:space="preserve">MMBT3906 丝印2A SOT-23(50个)</t>
  </si>
  <si>
    <t xml:space="preserve">选择 MMBT3906 / PNP / SOT-23 款式。</t>
  </si>
  <si>
    <t xml:space="preserve">SI2312CDS-T1-GE3</t>
  </si>
  <si>
    <t xml:space="preserve">SOT-23；数量:1个N沟道；漏源电压(Vdss):20V；连续漏极电流(Id):6A；导通电阻(RDS(on)):41.4mΩ@1.8V,5.6A；耗散功率(Pd):2.1W；阈值电压(Vgs(th)):1V@250uA</t>
  </si>
  <si>
    <t xml:space="preserve">Q2</t>
  </si>
  <si>
    <t xml:space="preserve">一芯向上电子</t>
  </si>
  <si>
    <t xml:space="preserve">SI2312DS（AE9T）N沟道（20只）</t>
  </si>
  <si>
    <t xml:space="preserve">实际使用：SI2312DS（AE9T）N沟道，20只包装。</t>
  </si>
  <si>
    <t xml:space="preserve">电阻</t>
  </si>
  <si>
    <t xml:space="preserve">RC0603FR-0710KL</t>
  </si>
  <si>
    <t xml:space="preserve">0603；10kΩ / ±1% / ±100ppm/℃ / 100mW</t>
  </si>
  <si>
    <t xml:space="preserve">R1, R2, R6, R12, R13, R22, R23, R26, R27, R29, R31, R32</t>
  </si>
  <si>
    <t xml:space="preserve">R2, R4, R5</t>
  </si>
  <si>
    <t xml:space="preserve">深圳市永芯泰电子企业店</t>
  </si>
  <si>
    <t xml:space="preserve">10K;0603 1%（100个）</t>
  </si>
  <si>
    <t xml:space="preserve">10kΩ / ±1% / 0603；HAT 十二只、IMU 三只。</t>
  </si>
  <si>
    <t xml:space="preserve">0603WAF0000T5E</t>
  </si>
  <si>
    <t xml:space="preserve">0603；0Ω / ±1% / 0603</t>
  </si>
  <si>
    <t xml:space="preserve">R3, R4, R5, R7, R33</t>
  </si>
  <si>
    <t xml:space="preserve">R1</t>
  </si>
  <si>
    <t xml:space="preserve">0R/0欧;0603 1%（100个）</t>
  </si>
  <si>
    <t xml:space="preserve">0Ω / 0603；HAT R33 按后续 0Ω / C21189 补丁计入。</t>
  </si>
  <si>
    <t xml:space="preserve">0603WAF1000T5E</t>
  </si>
  <si>
    <t xml:space="preserve">0603；100Ω / ±1% / ±200ppm/℃ / 100mW</t>
  </si>
  <si>
    <t xml:space="preserve">R8</t>
  </si>
  <si>
    <t xml:space="preserve">100R/100欧;0603 1%（100个）</t>
  </si>
  <si>
    <t xml:space="preserve">100Ω / ±1% / 0603，用于 HAT R8。</t>
  </si>
  <si>
    <t xml:space="preserve">0603WAF2002T5E</t>
  </si>
  <si>
    <t xml:space="preserve">0603；20kΩ / ±1% / ±100ppm/℃ / 100mW</t>
  </si>
  <si>
    <t xml:space="preserve">R28</t>
  </si>
  <si>
    <t xml:space="preserve">20K;0603 1%（100个）</t>
  </si>
  <si>
    <t xml:space="preserve">20kΩ / ±1% / 0603。</t>
  </si>
  <si>
    <t xml:space="preserve">热敏电阻</t>
  </si>
  <si>
    <t xml:space="preserve">PRG18BB101MB1RB</t>
  </si>
  <si>
    <t xml:space="preserve">0603；100Ω / PTC / 村田</t>
  </si>
  <si>
    <t xml:space="preserve">TH1</t>
  </si>
  <si>
    <t xml:space="preserve">贤辉亿芯</t>
  </si>
  <si>
    <t xml:space="preserve">100R  PRG18BB101MB1RB</t>
  </si>
  <si>
    <t xml:space="preserve">TH1可使用原村田PRG18BB101MB1RB（100Ω PTC，0603），按原订单100R款式采购；R33使用0Ω。</t>
  </si>
  <si>
    <t xml:space="preserve">PAM8406DR</t>
  </si>
  <si>
    <t xml:space="preserve">SOIC-16；功放类型:AB类功放；D类功放；扬声器通道数:双声道；输出功率:5Wx2@2Ω；静态电流(Iq):10mA</t>
  </si>
  <si>
    <t xml:space="preserve">U1</t>
  </si>
  <si>
    <t xml:space="preserve">深圳市远大芯程科技</t>
  </si>
  <si>
    <t xml:space="preserve">实际使用：PAM8406DR，订单标注 SOP16。</t>
  </si>
  <si>
    <t xml:space="preserve">TLV320AIC3104IRHBR</t>
  </si>
  <si>
    <t xml:space="preserve">HVQFN-32-EP(5x5)；类型:编解码器；接口类型:I2S；I2C；采样率:8kHz~96kHz</t>
  </si>
  <si>
    <t xml:space="preserve">U2</t>
  </si>
  <si>
    <t xml:space="preserve">淼鑫电子科技</t>
  </si>
  <si>
    <t xml:space="preserve">商品无选项，按商品标题完整型号购买</t>
  </si>
  <si>
    <t xml:space="preserve">TLV320AIC3104IRHBR，按商品完整型号购买。</t>
  </si>
  <si>
    <t xml:space="preserve">XC6206P182MR</t>
  </si>
  <si>
    <t xml:space="preserve">SOT-23；输出极性:正极；工作电压:8V；输出电压:1.8V；输出电流:250mA；电源纹波抑制比(PSRR):40dB@(1kHz)；输出类型:固定</t>
  </si>
  <si>
    <t xml:space="preserve">U3</t>
  </si>
  <si>
    <t xml:space="preserve">XC6206P182MR 65K5 SOT-23 (20个)</t>
  </si>
  <si>
    <t xml:space="preserve">XC6206P182MR / 1.8V / SOT-23，20个包装。</t>
  </si>
  <si>
    <t xml:space="preserve">SN74LVC1G08DBVR</t>
  </si>
  <si>
    <t xml:space="preserve">SOT-23-5；逻辑类型:与门；通道数:1；工作电压:1.65V~5.5V；静态电流(Iq):10uA；传播延迟(tpd):4ns@5V,50pF</t>
  </si>
  <si>
    <t xml:space="preserve">U5</t>
  </si>
  <si>
    <t xml:space="preserve">深圳市德明电子贸易商城</t>
  </si>
  <si>
    <t xml:space="preserve">SN74LVC1G08DBVR;5个全国包邮</t>
  </si>
  <si>
    <t xml:space="preserve">SN74LVC1G08DBVR / SOT-23-5 与门，按同页对应型号选项购买。</t>
  </si>
  <si>
    <t xml:space="preserve">SN74LVC1G125DBVR-TP</t>
  </si>
  <si>
    <t xml:space="preserve">SOT-23-5；输入类型:-；工作电压:1.65V~5.5V；元件数:1；每个元件位数:-；灌电流(IOL):24mA；拉电流(IOH):24mA</t>
  </si>
  <si>
    <t xml:space="preserve">U6</t>
  </si>
  <si>
    <t xml:space="preserve">SN74LVC1G125DBVR;5个全国包邮</t>
  </si>
  <si>
    <t xml:space="preserve">实际使用：SN74LVC1G125DBVR / SOT-23-5，5个包装。</t>
  </si>
  <si>
    <t xml:space="preserve">SN74LVC1G126DBVR</t>
  </si>
  <si>
    <t xml:space="preserve">SOT-23-5；输入类型:-；工作电压:1.65V~5.5V；元件数:1；每个元件位数:1；灌电流(IOL):32mA；拉电流(IOH):32mA</t>
  </si>
  <si>
    <t xml:space="preserve">U7</t>
  </si>
  <si>
    <t xml:space="preserve">SN74LVC1G126DBVR;5个全国包邮</t>
  </si>
  <si>
    <t xml:space="preserve">实际使用：SN74LVC1G126DBVR / SOT-23-5，5个包装。</t>
  </si>
  <si>
    <t xml:space="preserve">AP63205WU-7</t>
  </si>
  <si>
    <t xml:space="preserve">TSOT-23-6；功能类型:降压型；工作电压:3.8V~32V；输出电压:5V；输出电流:2A；输出类型:固定</t>
  </si>
  <si>
    <t xml:space="preserve">U9</t>
  </si>
  <si>
    <t xml:space="preserve">AP63205WU-7，固定5V降压芯片，按对应完整型号购买。</t>
  </si>
  <si>
    <t xml:space="preserve">LM5050MKX-1/NOPB</t>
  </si>
  <si>
    <t xml:space="preserve">TSOT-23-6；LM5050-1 5V 至 75V、400uA IQ ORing FET 控制器</t>
  </si>
  <si>
    <t xml:space="preserve">U10</t>
  </si>
  <si>
    <t xml:space="preserve">深圳市安芯选电子</t>
  </si>
  <si>
    <t xml:space="preserve">SOT-23;LM5050MKX-1/NOPB  原装正品</t>
  </si>
  <si>
    <t xml:space="preserve">LM5050MKX-1/NOPB，按完整型号购买。</t>
  </si>
  <si>
    <t xml:space="preserve">晶振</t>
  </si>
  <si>
    <t xml:space="preserve">OT3EL89CJI-111YLC-12M</t>
  </si>
  <si>
    <t xml:space="preserve">SMD2520-4P；12MHz</t>
  </si>
  <si>
    <t xml:space="preserve">Y1</t>
  </si>
  <si>
    <t xml:space="preserve">深圳市晶诺源电子</t>
  </si>
  <si>
    <t xml:space="preserve">12MHZ 1.2V~3.36V宽压[高精度10PPM];SMD2520-4P CMOS输出</t>
  </si>
  <si>
    <t xml:space="preserve">实际使用：12MHz、2520-4P、CMOS输出有源晶振，宽压1.2V~3.36V（订单标称）。</t>
  </si>
  <si>
    <t xml:space="preserve">CL21A475KAQNNNE</t>
  </si>
  <si>
    <t xml:space="preserve">0805；4.7uF / ±10% / 25V / X5R</t>
  </si>
  <si>
    <t xml:space="preserve">C1, C3</t>
  </si>
  <si>
    <t xml:space="preserve">0805 4.7UF ±10% X7R;25V</t>
  </si>
  <si>
    <t xml:space="preserve">实际采购：0805 / 4.7uF / ±10% / 25V / X7R。</t>
  </si>
  <si>
    <t xml:space="preserve">CL10B104JB8NNNC</t>
  </si>
  <si>
    <t xml:space="preserve">0603；100nF / ±5% / 50V / X7R</t>
  </si>
  <si>
    <t xml:space="preserve">C2, C4, C5, C7, C8, C10</t>
  </si>
  <si>
    <t xml:space="preserve">CL10A105KB8NNNC</t>
  </si>
  <si>
    <t xml:space="preserve">C6, C9</t>
  </si>
  <si>
    <t xml:space="preserve">PESD5V0S1BA</t>
  </si>
  <si>
    <t xml:space="preserve">SOD-323；反向截止电压(Vrwm):5V@Max；最大钳位电压:10V；峰值脉冲电流(Ipp)@10/1000us:5A@8/20us；击穿电压:5.8V</t>
  </si>
  <si>
    <t xml:space="preserve">深圳市优信电子科技有限公司</t>
  </si>
  <si>
    <t xml:space="preserve">PESD5V0S1BA / SOD-323 双向TVS，按商品完整型号购买。</t>
  </si>
  <si>
    <t xml:space="preserve">19-217/GHC-YR1S2/3T</t>
  </si>
  <si>
    <t xml:space="preserve">0603；110mW</t>
  </si>
  <si>
    <t xml:space="preserve">D2</t>
  </si>
  <si>
    <t xml:space="preserve">泰辰电子</t>
  </si>
  <si>
    <t xml:space="preserve">0603 蓝色=100个</t>
  </si>
  <si>
    <t xml:space="preserve">实际采购：0603 蓝色LED，100个包装。</t>
  </si>
  <si>
    <t xml:space="preserve">PZ254V-11-05P</t>
  </si>
  <si>
    <t xml:space="preserve">插件,P=2.54mm；3A</t>
  </si>
  <si>
    <t xml:space="preserve">J2</t>
  </si>
  <si>
    <t xml:space="preserve">zxin旗舰店</t>
  </si>
  <si>
    <t xml:space="preserve">1*5P直针 铜（30条）</t>
  </si>
  <si>
    <t xml:space="preserve">1×5P / 2.54mm 直排针，用于SWD烧录口。</t>
  </si>
  <si>
    <t xml:space="preserve">RC0603FR-07100KL</t>
  </si>
  <si>
    <t xml:space="preserve">0603；100kΩ / ±1% / ±100ppm/℃ / 100mW</t>
  </si>
  <si>
    <t xml:space="preserve">R3</t>
  </si>
  <si>
    <t xml:space="preserve">100K;0603 1%（100个）</t>
  </si>
  <si>
    <t xml:space="preserve">100kΩ / ±1% / 0603。</t>
  </si>
  <si>
    <t xml:space="preserve">0603WAF330JT5E</t>
  </si>
  <si>
    <t xml:space="preserve">0603；33Ω / ±1% / ±100ppm/℃ / 100mW</t>
  </si>
  <si>
    <t xml:space="preserve">R6</t>
  </si>
  <si>
    <t xml:space="preserve">33R/33欧;0603 1%（100个）</t>
  </si>
  <si>
    <t xml:space="preserve">33Ω / ±1% / 0603，用于IMU R6。</t>
  </si>
  <si>
    <t xml:space="preserve">0603WAF1001T5E</t>
  </si>
  <si>
    <t xml:space="preserve">0603；1kΩ / ±1% / ±100ppm/℃ / 100mW</t>
  </si>
  <si>
    <t xml:space="preserve">R7</t>
  </si>
  <si>
    <t xml:space="preserve">1K;0603 1%（100个）</t>
  </si>
  <si>
    <t xml:space="preserve">1kΩ / ±1% / 0603，八月备料订单。</t>
  </si>
  <si>
    <t xml:space="preserve">STM32G031F8P6</t>
  </si>
  <si>
    <t xml:space="preserve">TSSOP-20；CPU内核:ARM Cortex-M0+；CPU最大主频:64MHz；CPU位数:32 Bit</t>
  </si>
  <si>
    <t xml:space="preserve">深圳市新纶电子</t>
  </si>
  <si>
    <t xml:space="preserve">全新原装</t>
  </si>
  <si>
    <t xml:space="preserve">STM32G031F8P6 / TSSOP-20，按商品完整型号购买。</t>
  </si>
  <si>
    <t xml:space="preserve">LSM6DSV16XTR</t>
  </si>
  <si>
    <t xml:space="preserve">LGA-14(2.5x3)；传感器类型:IMU(加速度计+陀螺仪)；接口类型:I2C；SPI</t>
  </si>
  <si>
    <t xml:space="preserve">深圳市RTC电子</t>
  </si>
  <si>
    <t xml:space="preserve">LSM6DSV16XTR / LGA-14，在多型号商品页选择 LSM6DSV16XTR。</t>
  </si>
  <si>
    <t xml:space="preserve">TLV70433DBVR</t>
  </si>
  <si>
    <t xml:space="preserve">SOT-23-5；输出极性:正极；工作电压:24V；输出电压:3.3V；输出电流:150mA；电源纹波抑制比(PSRR):60dB@(100kHz)；输出类型:固定</t>
  </si>
  <si>
    <t xml:space="preserve">深圳市恒芯科创电子</t>
  </si>
  <si>
    <t xml:space="preserve">TLV70433DBVR / 3.3V / SOT-23-5。</t>
  </si>
  <si>
    <t xml:space="preserve">SN74LVC2G125DCUR</t>
  </si>
  <si>
    <t xml:space="preserve">VSSOP-8；输入类型:-；工作电压:1.65V~5.5V；元件数:2；每个元件位数:1；灌电流(IOL):32mA；拉电流(IOH):32mA</t>
  </si>
  <si>
    <t xml:space="preserve">U4</t>
  </si>
  <si>
    <t xml:space="preserve">深圳市垚鑫电子科技</t>
  </si>
  <si>
    <t xml:space="preserve">SN74LVC2G125DCUR / VSSOP-8，按商品完整型号购买。</t>
  </si>
  <si>
    <t xml:space="preserve">HAT 位号 BOM</t>
  </si>
  <si>
    <t xml:space="preserve">源：HAT-V5.epro2 / PCB2；84 个器件，工程原始属性保留。</t>
  </si>
  <si>
    <t xml:space="preserve">R33：采购0Ω / C21189，保留原工程属性。TH1可使用原村田PRG18BB101MB1RB，100Ω PTC / 0603。</t>
  </si>
  <si>
    <t xml:space="preserve">C8/C9 为 220pF（已修正）；C15 为 1206 / 10uF / 35V。</t>
  </si>
  <si>
    <t xml:space="preserve">器件用量按实际位号统计，采购商品已在作者实机验证可用。</t>
  </si>
  <si>
    <t xml:space="preserve">位号</t>
  </si>
  <si>
    <t xml:space="preserve">用途 / 位号原文</t>
  </si>
  <si>
    <t xml:space="preserve">工程完整型号</t>
  </si>
  <si>
    <t xml:space="preserve">工程立创料号</t>
  </si>
  <si>
    <t xml:space="preserve">工程封装</t>
  </si>
  <si>
    <t xml:space="preserve">工程关键参数</t>
  </si>
  <si>
    <t xml:space="preserve">当前采购规格 / 订单款式</t>
  </si>
  <si>
    <t xml:space="preserve">工程BOM型号链接</t>
  </si>
  <si>
    <t xml:space="preserve">用料说明</t>
  </si>
  <si>
    <t xml:space="preserve">工程来源</t>
  </si>
  <si>
    <t xml:space="preserve">C1</t>
  </si>
  <si>
    <t xml:space="preserve">1uF / left AC coupling</t>
  </si>
  <si>
    <t xml:space="preserve">C128624</t>
  </si>
  <si>
    <t xml:space="preserve">0603</t>
  </si>
  <si>
    <t xml:space="preserve">1uF / ±10% / 50V / X5R</t>
  </si>
  <si>
    <t xml:space="preserve">HAT-V5.epro2 / PCB2</t>
  </si>
  <si>
    <t xml:space="preserve">C2</t>
  </si>
  <si>
    <t xml:space="preserve">1uF / right AC coupling</t>
  </si>
  <si>
    <t xml:space="preserve">C3</t>
  </si>
  <si>
    <t xml:space="preserve">1uF / VREF</t>
  </si>
  <si>
    <t xml:space="preserve">C4</t>
  </si>
  <si>
    <t xml:space="preserve">1uF</t>
  </si>
  <si>
    <t xml:space="preserve">C5</t>
  </si>
  <si>
    <t xml:space="preserve">10uF</t>
  </si>
  <si>
    <t xml:space="preserve">C76608</t>
  </si>
  <si>
    <t xml:space="preserve">10uF / ±10% / 10V / X5R</t>
  </si>
  <si>
    <t xml:space="preserve">C6</t>
  </si>
  <si>
    <t xml:space="preserve">C7</t>
  </si>
  <si>
    <t xml:space="preserve">C8</t>
  </si>
  <si>
    <t xml:space="preserve">C156398</t>
  </si>
  <si>
    <t xml:space="preserve">220pF / ±5% / 50V / C0G</t>
  </si>
  <si>
    <t xml:space="preserve">C9</t>
  </si>
  <si>
    <t xml:space="preserve">C10</t>
  </si>
  <si>
    <t xml:space="preserve">1uF / onboard MIC coupling</t>
  </si>
  <si>
    <t xml:space="preserve">C11</t>
  </si>
  <si>
    <t xml:space="preserve">100nF / onboard MIC</t>
  </si>
  <si>
    <t xml:space="preserve">C14663</t>
  </si>
  <si>
    <t xml:space="preserve">100nF / ±10% / 50V / X7R</t>
  </si>
  <si>
    <t xml:space="preserve">C12</t>
  </si>
  <si>
    <t xml:space="preserve">10uF / 1V8</t>
  </si>
  <si>
    <t xml:space="preserve">C13</t>
  </si>
  <si>
    <t xml:space="preserve">10uF / 3V3</t>
  </si>
  <si>
    <t xml:space="preserve">C14</t>
  </si>
  <si>
    <t xml:space="preserve">100nF / oscillator</t>
  </si>
  <si>
    <t xml:space="preserve">C76666</t>
  </si>
  <si>
    <t xml:space="preserve">1206</t>
  </si>
  <si>
    <t xml:space="preserve">10uF / ±10% / 35V / X7R</t>
  </si>
  <si>
    <t xml:space="preserve">C16</t>
  </si>
  <si>
    <t xml:space="preserve">100nF / U5</t>
  </si>
  <si>
    <t xml:space="preserve">C17</t>
  </si>
  <si>
    <t xml:space="preserve">100nF / U6</t>
  </si>
  <si>
    <t xml:space="preserve">C18</t>
  </si>
  <si>
    <t xml:space="preserve">100nF / U7</t>
  </si>
  <si>
    <t xml:space="preserve">C20</t>
  </si>
  <si>
    <t xml:space="preserve">100nF 50V / bootstrap</t>
  </si>
  <si>
    <t xml:space="preserve">C21</t>
  </si>
  <si>
    <t xml:space="preserve">22uF 10V X5R</t>
  </si>
  <si>
    <t xml:space="preserve">C84419</t>
  </si>
  <si>
    <t xml:space="preserve">22uF / ±20% / 10V / X5R</t>
  </si>
  <si>
    <t xml:space="preserve">C22</t>
  </si>
  <si>
    <t xml:space="preserve">C26</t>
  </si>
  <si>
    <t xml:space="preserve">100nF / 1V8</t>
  </si>
  <si>
    <t xml:space="preserve">C27</t>
  </si>
  <si>
    <t xml:space="preserve">C28</t>
  </si>
  <si>
    <t xml:space="preserve">100nF</t>
  </si>
  <si>
    <t xml:space="preserve">C29</t>
  </si>
  <si>
    <t xml:space="preserve">C30</t>
  </si>
  <si>
    <t xml:space="preserve">C31</t>
  </si>
  <si>
    <t xml:space="preserve">C32</t>
  </si>
  <si>
    <t xml:space="preserve">C33</t>
  </si>
  <si>
    <t xml:space="preserve">10nF</t>
  </si>
  <si>
    <t xml:space="preserve">C100042</t>
  </si>
  <si>
    <t xml:space="preserve">10nF / ±10% / 50V / X7R</t>
  </si>
  <si>
    <t xml:space="preserve">C35</t>
  </si>
  <si>
    <t xml:space="preserve">C36</t>
  </si>
  <si>
    <t xml:space="preserve">C37</t>
  </si>
  <si>
    <t xml:space="preserve">C38</t>
  </si>
  <si>
    <t xml:space="preserve">100nF / codec reset</t>
  </si>
  <si>
    <t xml:space="preserve">C39</t>
  </si>
  <si>
    <t xml:space="preserve">100nF 50V</t>
  </si>
  <si>
    <t xml:space="preserve">C40</t>
  </si>
  <si>
    <t xml:space="preserve">1uF / MIC R coupling</t>
  </si>
  <si>
    <t xml:space="preserve">C41</t>
  </si>
  <si>
    <t xml:space="preserve">1uF / MIC L coupling</t>
  </si>
  <si>
    <t xml:space="preserve">C42</t>
  </si>
  <si>
    <t xml:space="preserve">1uF / MIC supply</t>
  </si>
  <si>
    <t xml:space="preserve">C43</t>
  </si>
  <si>
    <t xml:space="preserve">BAT54SW / diode 1 used</t>
  </si>
  <si>
    <t xml:space="preserve">C78606</t>
  </si>
  <si>
    <t xml:space="preserve">SOT-323</t>
  </si>
  <si>
    <t xml:space="preserve">二极管配置:1对串联式；正向压降(Vf):800mV@100mA；直流反向耐压(Vr):30V；整流电流:200mA</t>
  </si>
  <si>
    <t xml:space="preserve">5V1 / bus clamp</t>
  </si>
  <si>
    <t xml:space="preserve">C151348</t>
  </si>
  <si>
    <t xml:space="preserve">SOD-323</t>
  </si>
  <si>
    <t xml:space="preserve">二极管配置:1个独立式；稳压值(标称值):5.1V；稳压值(范围值):4.8V~5.4V；耗散功率(Pd):200mW</t>
  </si>
  <si>
    <t xml:space="preserve">600R@100MHz 1.3A</t>
  </si>
  <si>
    <t xml:space="preserve">C85833</t>
  </si>
  <si>
    <t xml:space="preserve">±25% / 600Ω@100MHz / 1.3A</t>
  </si>
  <si>
    <t xml:space="preserve">FB2</t>
  </si>
  <si>
    <t xml:space="preserve">120R@100MHz 2A</t>
  </si>
  <si>
    <t xml:space="preserve">C2661472</t>
  </si>
  <si>
    <t xml:space="preserve">±25% / 120Ω@100MHz / 2A</t>
  </si>
  <si>
    <t xml:space="preserve">FB3</t>
  </si>
  <si>
    <t xml:space="preserve">SPK R / JST-EH 2P</t>
  </si>
  <si>
    <t xml:space="preserve">C160262</t>
  </si>
  <si>
    <t xml:space="preserve">插件,P=2.5mm</t>
  </si>
  <si>
    <t xml:space="preserve">250V / 3A</t>
  </si>
  <si>
    <t xml:space="preserve">MIC L / JST-EH 2P</t>
  </si>
  <si>
    <t xml:space="preserve">FH-00339 stock pins / Zero pair-map / bottom</t>
  </si>
  <si>
    <t xml:space="preserve">C2685112</t>
  </si>
  <si>
    <t xml:space="preserve">SMD,P=2.54mm</t>
  </si>
  <si>
    <t xml:space="preserve">3A</t>
  </si>
  <si>
    <t xml:space="preserve">ToF / Qwiic / pad 0 GND</t>
  </si>
  <si>
    <t xml:space="preserve">C160390</t>
  </si>
  <si>
    <t xml:space="preserve">SMD,P=1mm</t>
  </si>
  <si>
    <t xml:space="preserve">50V / 1A</t>
  </si>
  <si>
    <t xml:space="preserve">J9</t>
  </si>
  <si>
    <t xml:space="preserve">MIC R / JST-EH 2P</t>
  </si>
  <si>
    <t xml:space="preserve">J13</t>
  </si>
  <si>
    <t xml:space="preserve">Dynamixel TTL 3P</t>
  </si>
  <si>
    <t xml:space="preserve">C160259</t>
  </si>
  <si>
    <t xml:space="preserve">J14</t>
  </si>
  <si>
    <t xml:space="preserve">6.8uH / 3A / Isat 4.3A</t>
  </si>
  <si>
    <t xml:space="preserve">C57254</t>
  </si>
  <si>
    <t xml:space="preserve">SMD,6x6mm</t>
  </si>
  <si>
    <t xml:space="preserve">6.8uH / ±20% / 3A</t>
  </si>
  <si>
    <t xml:space="preserve">Onboard analog MEMS MIC</t>
  </si>
  <si>
    <t xml:space="preserve">C7587901</t>
  </si>
  <si>
    <t xml:space="preserve">SMD-4P,2.8x1.9mm</t>
  </si>
  <si>
    <t xml:space="preserve">指向性:全指向；信噪比:55dB；灵敏度:-42dB；阻抗:300Ω</t>
  </si>
  <si>
    <t xml:space="preserve">MMBT3906 / direction</t>
  </si>
  <si>
    <t xml:space="preserve">C727128</t>
  </si>
  <si>
    <t xml:space="preserve">SOT-23</t>
  </si>
  <si>
    <t xml:space="preserve">晶体管类型:PNP；集电极电流(Ic):200mA；集射极击穿电压(Vceo):40V；耗散功率(Pd):200mW；直流电流增益(hFE):100@10mA,1V</t>
  </si>
  <si>
    <t xml:space="preserve">SI2312 / ideal diode MOS</t>
  </si>
  <si>
    <t xml:space="preserve">C142518</t>
  </si>
  <si>
    <t xml:space="preserve">数量:1个N沟道；漏源电压(Vdss):20V；连续漏极电流(Id):6A；导通电阻(RDS(on)):41.4mΩ@1.8V,5.6A；耗散功率(Pd):2.1W；阈值电压(Vgs(th)):1V@250uA</t>
  </si>
  <si>
    <t xml:space="preserve">10k / INL</t>
  </si>
  <si>
    <t xml:space="preserve">C98220</t>
  </si>
  <si>
    <t xml:space="preserve">10kΩ / ±1% / ±100ppm/℃ / 100mW</t>
  </si>
  <si>
    <t xml:space="preserve">R2</t>
  </si>
  <si>
    <t xml:space="preserve">10k / INR</t>
  </si>
  <si>
    <t xml:space="preserve">0R / SHDN high</t>
  </si>
  <si>
    <t xml:space="preserve">C21189</t>
  </si>
  <si>
    <t xml:space="preserve">0Ω / ±1% / - / 100mW</t>
  </si>
  <si>
    <t xml:space="preserve">R4</t>
  </si>
  <si>
    <t xml:space="preserve">0R / MUTE high</t>
  </si>
  <si>
    <t xml:space="preserve">R5</t>
  </si>
  <si>
    <t xml:space="preserve">0R / MODE high</t>
  </si>
  <si>
    <t xml:space="preserve">10k / codec reset</t>
  </si>
  <si>
    <t xml:space="preserve">0R / MIC2L to GND</t>
  </si>
  <si>
    <t xml:space="preserve">100R</t>
  </si>
  <si>
    <t xml:space="preserve">C22775</t>
  </si>
  <si>
    <t xml:space="preserve">100Ω / ±1% / ±200ppm/℃ / 100mW</t>
  </si>
  <si>
    <t xml:space="preserve">R12</t>
  </si>
  <si>
    <t xml:space="preserve">10k / SDA pull-up</t>
  </si>
  <si>
    <t xml:space="preserve">R13</t>
  </si>
  <si>
    <t xml:space="preserve">10k / SCL pull-up</t>
  </si>
  <si>
    <t xml:space="preserve">R22</t>
  </si>
  <si>
    <t xml:space="preserve">10k / MIC L bias</t>
  </si>
  <si>
    <t xml:space="preserve">R23</t>
  </si>
  <si>
    <t xml:space="preserve">10k / MIC R bias</t>
  </si>
  <si>
    <t xml:space="preserve">R26</t>
  </si>
  <si>
    <t xml:space="preserve">10k / UART TX pull-up</t>
  </si>
  <si>
    <t xml:space="preserve">R27</t>
  </si>
  <si>
    <t xml:space="preserve">10k / direction base</t>
  </si>
  <si>
    <t xml:space="preserve">20k / direction pull-down</t>
  </si>
  <si>
    <t xml:space="preserve">C4184</t>
  </si>
  <si>
    <t xml:space="preserve">20kΩ / ±1% / ±100ppm/℃ / 100mW</t>
  </si>
  <si>
    <t xml:space="preserve">R29</t>
  </si>
  <si>
    <t xml:space="preserve">10k / RX gate enable</t>
  </si>
  <si>
    <t xml:space="preserve">R31</t>
  </si>
  <si>
    <t xml:space="preserve">10k / RX pull-up</t>
  </si>
  <si>
    <t xml:space="preserve">R32</t>
  </si>
  <si>
    <t xml:space="preserve">10k / data pull-up</t>
  </si>
  <si>
    <t xml:space="preserve">R33</t>
  </si>
  <si>
    <t xml:space="preserve">150R / bus series</t>
  </si>
  <si>
    <t xml:space="preserve">0603WAF1500T5E</t>
  </si>
  <si>
    <t xml:space="preserve">C22808</t>
  </si>
  <si>
    <t xml:space="preserve">150Ω / ±1% / ±100ppm/℃ / 100mW</t>
  </si>
  <si>
    <t xml:space="preserve">100R PTC</t>
  </si>
  <si>
    <t xml:space="preserve">C913703</t>
  </si>
  <si>
    <t xml:space="preserve">100Ω / PTC / 村田</t>
  </si>
  <si>
    <t xml:space="preserve">PAM8406D</t>
  </si>
  <si>
    <t xml:space="preserve">C86270</t>
  </si>
  <si>
    <t xml:space="preserve">SOIC-16</t>
  </si>
  <si>
    <t xml:space="preserve">功放类型:AB类功放；D类功放；扬声器通道数:双声道；输出功率:5Wx2@2Ω；静态电流(Iq):10mA</t>
  </si>
  <si>
    <t xml:space="preserve">C181753</t>
  </si>
  <si>
    <t xml:space="preserve">HVQFN-32-EP(5x5)</t>
  </si>
  <si>
    <t xml:space="preserve">类型:编解码器；接口类型:I2S；I2C；采样率:8kHz~96kHz</t>
  </si>
  <si>
    <t xml:space="preserve">XC6206P182 / 1V8</t>
  </si>
  <si>
    <t xml:space="preserve">C347373</t>
  </si>
  <si>
    <t xml:space="preserve">输出极性:正极；工作电压:8V；输出电压:1.8V；输出电流:250mA；电源纹波抑制比(PSRR):40dB@(1kHz)；输出类型:固定</t>
  </si>
  <si>
    <t xml:space="preserve">74LVC1G08 / RX gate</t>
  </si>
  <si>
    <t xml:space="preserve">C7666</t>
  </si>
  <si>
    <t xml:space="preserve">SOT-23-5</t>
  </si>
  <si>
    <t xml:space="preserve">逻辑类型:与门；通道数:1；工作电压:1.65V~5.5V；静态电流(Iq):10uA；传播延迟(tpd):4ns@5V,50pF</t>
  </si>
  <si>
    <t xml:space="preserve">SN74LVC1G125 / RX</t>
  </si>
  <si>
    <t xml:space="preserve">C3040625</t>
  </si>
  <si>
    <t xml:space="preserve">输入类型:-；工作电压:1.65V~5.5V；元件数:1；每个元件位数:-；灌电流(IOL):24mA；拉电流(IOH):24mA</t>
  </si>
  <si>
    <t xml:space="preserve">SN74LVC1G126 / TX</t>
  </si>
  <si>
    <t xml:space="preserve">C7834</t>
  </si>
  <si>
    <t xml:space="preserve">输入类型:-；工作电压:1.65V~5.5V；元件数:1；每个元件位数:1；灌电流(IOL):32mA；拉电流(IOH):32mA</t>
  </si>
  <si>
    <t xml:space="preserve">AP63205 / 5V buck</t>
  </si>
  <si>
    <t xml:space="preserve">C2071056</t>
  </si>
  <si>
    <t xml:space="preserve">TSOT-23-6</t>
  </si>
  <si>
    <t xml:space="preserve">功能类型:降压型；工作电压:3.8V~32V；输出电压:5V；输出电流:2A；输出类型:固定</t>
  </si>
  <si>
    <t xml:space="preserve">LM5050-1</t>
  </si>
  <si>
    <t xml:space="preserve">C473393</t>
  </si>
  <si>
    <t xml:space="preserve">LM5050-1 5V 至 75V、400uA IQ ORing FET 控制器</t>
  </si>
  <si>
    <t xml:space="preserve">12MHz</t>
  </si>
  <si>
    <t xml:space="preserve">C7425459</t>
  </si>
  <si>
    <t xml:space="preserve">SMD2520-4P</t>
  </si>
  <si>
    <t xml:space="preserve">IMU 位号 BOM</t>
  </si>
  <si>
    <t xml:space="preserve">源：IMU-TO-DLX-V2.epro2 / PCB1；25 个器件，工程原始属性保留。</t>
  </si>
  <si>
    <t xml:space="preserve">实际采购款式见 G 列，原工程型号与参数保留备查。</t>
  </si>
  <si>
    <t xml:space="preserve">D2 实际采购为0603蓝色LED，原工程器件记录保留。</t>
  </si>
  <si>
    <t xml:space="preserve">4.7uF 25V</t>
  </si>
  <si>
    <t xml:space="preserve">C1779</t>
  </si>
  <si>
    <t xml:space="preserve">0805</t>
  </si>
  <si>
    <t xml:space="preserve">4.7uF / ±10% / 25V / X5R</t>
  </si>
  <si>
    <t xml:space="preserve">IMU-TO-DLX-V2.epro2 / PCB1</t>
  </si>
  <si>
    <t xml:space="preserve">C24452</t>
  </si>
  <si>
    <t xml:space="preserve">100nF / ±5% / 50V / X7R</t>
  </si>
  <si>
    <t xml:space="preserve">100nF / MCU</t>
  </si>
  <si>
    <t xml:space="preserve">1uF / MCU</t>
  </si>
  <si>
    <t xml:space="preserve">C15849</t>
  </si>
  <si>
    <t xml:space="preserve">100nF / VDD_IO</t>
  </si>
  <si>
    <t xml:space="preserve">100nF / VDD</t>
  </si>
  <si>
    <t xml:space="preserve">1uF / IMU local</t>
  </si>
  <si>
    <t xml:space="preserve">100nF / buffer</t>
  </si>
  <si>
    <t xml:space="preserve">PESD5V0S1BA / 5V bidirectional</t>
  </si>
  <si>
    <t xml:space="preserve">C330094</t>
  </si>
  <si>
    <t xml:space="preserve">反向截止电压(Vrwm):5V@Max；最大钳位电压:10V；峰值脉冲电流(Ipp)@10/1000us:5A@8/20us；击穿电压:5.8V</t>
  </si>
  <si>
    <t xml:space="preserve">DEBUG LED</t>
  </si>
  <si>
    <t xml:space="preserve">C72043</t>
  </si>
  <si>
    <t xml:space="preserve">110mW</t>
  </si>
  <si>
    <t xml:space="preserve">DXL BUS / JST EH 3P</t>
  </si>
  <si>
    <t xml:space="preserve">SWD 1x5</t>
  </si>
  <si>
    <t xml:space="preserve">C492404</t>
  </si>
  <si>
    <t xml:space="preserve">插件,P=2.54mm</t>
  </si>
  <si>
    <t xml:space="preserve">0R / DXL_VDD link</t>
  </si>
  <si>
    <t xml:space="preserve">10k / NRST pull-up</t>
  </si>
  <si>
    <t xml:space="preserve">100k / BOOT0 pull-down</t>
  </si>
  <si>
    <t xml:space="preserve">C14675</t>
  </si>
  <si>
    <t xml:space="preserve">100kΩ / ±1% / ±100ppm/℃ / 100mW</t>
  </si>
  <si>
    <t xml:space="preserve">10k / IMU CS pull-up</t>
  </si>
  <si>
    <t xml:space="preserve">10k / TX disable pull-up</t>
  </si>
  <si>
    <t xml:space="preserve">33R / DXL TX series</t>
  </si>
  <si>
    <t xml:space="preserve">C23140</t>
  </si>
  <si>
    <t xml:space="preserve">33Ω / ±1% / ±100ppm/℃ / 100mW</t>
  </si>
  <si>
    <t xml:space="preserve">1k / debug LED</t>
  </si>
  <si>
    <t xml:space="preserve">C21190</t>
  </si>
  <si>
    <t xml:space="preserve">1kΩ / ±1% / ±100ppm/℃ / 100mW</t>
  </si>
  <si>
    <t xml:space="preserve">C529334</t>
  </si>
  <si>
    <t xml:space="preserve">TSSOP-20</t>
  </si>
  <si>
    <t xml:space="preserve">CPU内核:ARM Cortex-M0+；CPU最大主频:64MHz；CPU位数:32 Bit</t>
  </si>
  <si>
    <t xml:space="preserve">C5267406</t>
  </si>
  <si>
    <t xml:space="preserve">LGA-14(2.5x3)</t>
  </si>
  <si>
    <t xml:space="preserve">传感器类型:IMU(加速度计+陀螺仪)；接口类型:I2C；SPI</t>
  </si>
  <si>
    <t xml:space="preserve">C94917</t>
  </si>
  <si>
    <t xml:space="preserve">输出极性:正极；工作电压:24V；输出电压:3.3V；输出电流:150mA；电源纹波抑制比(PSRR):60dB@(100kHz)；输出类型:固定</t>
  </si>
  <si>
    <t xml:space="preserve">C21404</t>
  </si>
  <si>
    <t xml:space="preserve">VSSOP-8</t>
  </si>
  <si>
    <t xml:space="preserve">输入类型:-；工作电压:1.65V~5.5V；元件数:2；每个元件位数:1；灌电流(IOL):32mA；拉电流(IOH):32mA</t>
  </si>
  <si>
    <t xml:space="preserve">鸭子本体用料</t>
  </si>
  <si>
    <t xml:space="preserve">鸭子本体配套材料：HAT/IMU接口使用EH，飞特舵机使用AMP2.0成品线（10cm、20cm）。PCB原器件表不动，工具见独立工作表。</t>
  </si>
  <si>
    <t xml:space="preserve">舵机为HD-1910-C001，整机15只；电池按NP-F550的2电＋标准双充套装选购。</t>
  </si>
  <si>
    <t xml:space="preserve">订单商品金额按一拍记录；包装或购入数量包含备料。金额依据订单数据.xlsx。</t>
  </si>
  <si>
    <t xml:space="preserve">商品 / 用品</t>
  </si>
  <si>
    <t xml:space="preserve">具体规格</t>
  </si>
  <si>
    <t xml:space="preserve">用量或购买条件</t>
  </si>
  <si>
    <t xml:space="preserve">商品链接</t>
  </si>
  <si>
    <t xml:space="preserve">订单原款式</t>
  </si>
  <si>
    <t xml:space="preserve">每拍含量</t>
  </si>
  <si>
    <t xml:space="preserve">订单源行</t>
  </si>
  <si>
    <t xml:space="preserve">订单商品金额 / 拍(元)</t>
  </si>
  <si>
    <t xml:space="preserve">定制PCB</t>
  </si>
  <si>
    <t xml:space="preserve">HAT 裸板</t>
  </si>
  <si>
    <t xml:space="preserve">HAT-V5，65×30.9mm，两层板；按对应工程生成生产资料</t>
  </si>
  <si>
    <t xml:space="preserve">有券免费；无券20元5张（4元/张）</t>
  </si>
  <si>
    <t xml:space="preserve">PCB打样平台</t>
  </si>
  <si>
    <t xml:space="preserve">定制打样入口，不是现成商品</t>
  </si>
  <si>
    <t xml:space="preserve">裸板需定制；R33按0Ω采购，TH1可用原村田PRG18BB101MB1RB；使用本项目对应工程。</t>
  </si>
  <si>
    <t xml:space="preserve">未在淘宝订单中记录</t>
  </si>
  <si>
    <t xml:space="preserve">IMU 裸板</t>
  </si>
  <si>
    <t xml:space="preserve">IMU-TO-DLX-V2；按对应工程生成生产资料</t>
  </si>
  <si>
    <t xml:space="preserve">使用对应 IMU 工程，裸板不是可直接购买的标准模块。</t>
  </si>
  <si>
    <t xml:space="preserve">配套接插件</t>
  </si>
  <si>
    <t xml:space="preserve">EH 2P 母壳</t>
  </si>
  <si>
    <t xml:space="preserve">EH 2P，配 HAT J1/J2/J9</t>
  </si>
  <si>
    <t xml:space="preserve">按实际接线；最多3只/板</t>
  </si>
  <si>
    <t xml:space="preserve">EH2.5MM 2P胶壳（50个）</t>
  </si>
  <si>
    <t xml:space="preserve">每只母壳配2个EH压接端子；按EH2.5款式购买，与板上的EH接口配套。</t>
  </si>
  <si>
    <t xml:space="preserve">EH 3P 母壳</t>
  </si>
  <si>
    <t xml:space="preserve">EH 3P，配 HAT J13/J14、IMU J1</t>
  </si>
  <si>
    <t xml:space="preserve">按实际接线；最多3只/套</t>
  </si>
  <si>
    <t xml:space="preserve">EH2.5MM 3P胶壳（50个）</t>
  </si>
  <si>
    <t xml:space="preserve">每只母壳还需3个压接端子。</t>
  </si>
  <si>
    <t xml:space="preserve">EH 压接端子</t>
  </si>
  <si>
    <t xml:space="preserve">EH2.5MM 端子</t>
  </si>
  <si>
    <t xml:space="preserve">每个使用的插孔1个</t>
  </si>
  <si>
    <t xml:space="preserve">EH2.5MM 端子（100个）</t>
  </si>
  <si>
    <t xml:space="preserve">与EH母壳成套使用，按EH2.5MM端子款式购买。</t>
  </si>
  <si>
    <t xml:space="preserve">信号线</t>
  </si>
  <si>
    <t xml:space="preserve">SH1.0 4P 转杜邦母线</t>
  </si>
  <si>
    <t xml:space="preserve">SH1.0 4P / 20cm / 杜邦母</t>
  </si>
  <si>
    <t xml:space="preserve">按连接方案选用</t>
  </si>
  <si>
    <t xml:space="preserve">0.2m;1.0-4P转杜邦母（5条）</t>
  </si>
  <si>
    <t xml:space="preserve">用于外部接口转接；每根线的脚序按 HAT J5 与模块核对，不按线色猜。</t>
  </si>
  <si>
    <t xml:space="preserve">外接模块</t>
  </si>
  <si>
    <t xml:space="preserve">扬声器</t>
  </si>
  <si>
    <t xml:space="preserve">3525 腔体 / 4Ω 3W</t>
  </si>
  <si>
    <t xml:space="preserve">按音频方案选用</t>
  </si>
  <si>
    <t xml:space="preserve">3525腔体-4Ω3W/喇叭</t>
  </si>
  <si>
    <t xml:space="preserve">订单自带1.25端子；HAT板座是 EH 2P，需改接或转接，不能直接认为插头相同。</t>
  </si>
  <si>
    <t xml:space="preserve">8×8 ToF 测距模块</t>
  </si>
  <si>
    <t xml:space="preserve">VL53L5X V2模块配盖片（商品标题 VL53L5CX）</t>
  </si>
  <si>
    <t xml:space="preserve">按功能需求选用</t>
  </si>
  <si>
    <t xml:space="preserve">都会明武电子</t>
  </si>
  <si>
    <t xml:space="preserve">VL53L5X V2模块配盖片</t>
  </si>
  <si>
    <t xml:space="preserve">外接模块，不是 PCB 上的裸芯片；模块接线和供电按已验证方案。</t>
  </si>
  <si>
    <t xml:space="preserve">外接主控</t>
  </si>
  <si>
    <t xml:space="preserve">Radxa ZERO 3W</t>
  </si>
  <si>
    <t xml:space="preserve">2GB RAM / 无eMMC / 带排针</t>
  </si>
  <si>
    <t xml:space="preserve">1块/HAT（如未已有）</t>
  </si>
  <si>
    <t xml:space="preserve">瑞莎计算机(深圳)有限公司</t>
  </si>
  <si>
    <t xml:space="preserve">2GB RAM 无 eMMC 带排针[【Microduck 原版主板】]</t>
  </si>
  <si>
    <t xml:space="preserve">已完成订单的主板款式；属于配套主控，不计入 HAT 84 个器件。</t>
  </si>
  <si>
    <t xml:space="preserve">舵机</t>
  </si>
  <si>
    <t xml:space="preserve">飞特 HD1910 串口总线舵机</t>
  </si>
  <si>
    <t xml:space="preserve">HD-1910-C001</t>
  </si>
  <si>
    <t xml:space="preserve">15只/整机</t>
  </si>
  <si>
    <t xml:space="preserve">深圳飞特舵机工厂店</t>
  </si>
  <si>
    <t xml:space="preserve">作者两次订单分别购入13只和2只，共15只；选择 HD-1910-C001 款式。</t>
  </si>
  <si>
    <t xml:space="preserve">摄像头</t>
  </si>
  <si>
    <t xml:space="preserve">Radxa 8M 219 摄像头</t>
  </si>
  <si>
    <t xml:space="preserve">IMX219 / 800万像素 / 瑞莎8M 219</t>
  </si>
  <si>
    <t xml:space="preserve">按摄像头方案选用</t>
  </si>
  <si>
    <t xml:space="preserve">8M 219 摄像头[【适配3W/3E/3A/3C/CM5/4系列】]</t>
  </si>
  <si>
    <t xml:space="preserve">按原订单的8M 219摄像头款式购买。</t>
  </si>
  <si>
    <t xml:space="preserve">电池</t>
  </si>
  <si>
    <t xml:space="preserve">NP-F550 电池与双充套装</t>
  </si>
  <si>
    <t xml:space="preserve">沣标 NP-F550 / 2200mAh / 2块电池＋标准双充</t>
  </si>
  <si>
    <t xml:space="preserve">1套含2电＋双充；按NP-F供电安装方案使用</t>
  </si>
  <si>
    <t xml:space="preserve">fb数码旗舰店</t>
  </si>
  <si>
    <t xml:space="preserve">【NP-F550补光灯专用▲2200mAh】2电+标准双充套裝</t>
  </si>
  <si>
    <t xml:space="preserve">按“NP-F550补光灯专用▲2200mAh，2电+标准双充套裝”原款式购买。</t>
  </si>
  <si>
    <t xml:space="preserve">AMP线材</t>
  </si>
  <si>
    <t xml:space="preserve">AMP2.0 3P 舵机线 20cm</t>
  </si>
  <si>
    <t xml:space="preserve">200mm / 1007 / 24AWG / 3P / AMP2.0</t>
  </si>
  <si>
    <t xml:space="preserve">按布线长度选择；原订单30条</t>
  </si>
  <si>
    <t xml:space="preserve">永茂电子</t>
  </si>
  <si>
    <t xml:space="preserve">200mm;1007/24#;3P;AMP2.0</t>
  </si>
  <si>
    <t xml:space="preserve">用于飞特舵机线束；10cm和20cm按实际走线位置选择。</t>
  </si>
  <si>
    <t xml:space="preserve">AMP2.0 3P 舵机线 10cm</t>
  </si>
  <si>
    <t xml:space="preserve">100mm / 1007 / 24AWG / 3P / AMP2.0</t>
  </si>
  <si>
    <t xml:space="preserve">100mm;1007/24#;3P;AMP2.0</t>
  </si>
  <si>
    <t xml:space="preserve">与20cm线是不同长度选项，数量按实际线束方案准备。</t>
  </si>
  <si>
    <t xml:space="preserve">线材</t>
  </si>
  <si>
    <t xml:space="preserve">22AWG 三芯硅胶排线</t>
  </si>
  <si>
    <t xml:space="preserve">黑色 / 3芯 / 22AWG / 1m</t>
  </si>
  <si>
    <t xml:space="preserve">自制线束按长度裁剪</t>
  </si>
  <si>
    <t xml:space="preserve">萨牛旗舰店</t>
  </si>
  <si>
    <t xml:space="preserve">黑色;3芯;22AWG;1m</t>
  </si>
  <si>
    <t xml:space="preserve">订单共购入3米；此行选用2米订单的商品链接与原款式。</t>
  </si>
  <si>
    <t xml:space="preserve">22AWG 单芯硅胶线</t>
  </si>
  <si>
    <t xml:space="preserve">黑色 / 22AWG / 0.33mm² / 2m</t>
  </si>
  <si>
    <t xml:space="preserve">按接线需求裁剪</t>
  </si>
  <si>
    <t xml:space="preserve">渡竹旗舰店</t>
  </si>
  <si>
    <t xml:space="preserve">22AWG(0.33平方)黑色 2米</t>
  </si>
  <si>
    <t xml:space="preserve">用于自制接线，按22AWG黑色2米款式购买。</t>
  </si>
  <si>
    <t xml:space="preserve">线束绝缘</t>
  </si>
  <si>
    <t xml:space="preserve">彩色热缩管套装</t>
  </si>
  <si>
    <t xml:space="preserve">164片 / 彩色 / 2倍收缩</t>
  </si>
  <si>
    <t xml:space="preserve">按线束制作需要选用</t>
  </si>
  <si>
    <t xml:space="preserve">圣佰路旗舰店</t>
  </si>
  <si>
    <t xml:space="preserve">袋装 164片 彩色 【2倍收缩】</t>
  </si>
  <si>
    <t xml:space="preserve">用于接线处绝缘及整理。</t>
  </si>
  <si>
    <t xml:space="preserve">轴承</t>
  </si>
  <si>
    <t xml:space="preserve">6700 开式薄壁轴承</t>
  </si>
  <si>
    <t xml:space="preserve">6700开式 / 10×15×3mm / 轴承钢精品级</t>
  </si>
  <si>
    <t xml:space="preserve">按打印模型轴承位；订单共购入5只（含备料）</t>
  </si>
  <si>
    <t xml:space="preserve">优可吉轴承销售店</t>
  </si>
  <si>
    <t xml:space="preserve">6700开式【轴承钢·精品级】10*15*3MM</t>
  </si>
  <si>
    <t xml:space="preserve">尺寸顺序为内径×外径×宽度；两次订单为3只和2只。</t>
  </si>
  <si>
    <t xml:space="preserve">ET2216 薄壁轴承</t>
  </si>
  <si>
    <t xml:space="preserve">ET2216 / 16×22×4mm / 轴承钢精品级</t>
  </si>
  <si>
    <t xml:space="preserve">按打印模型轴承位；订单共购入12只（含备料）</t>
  </si>
  <si>
    <t xml:space="preserve">ET2216【精品级】16*22*4MM[轴承钢]</t>
  </si>
  <si>
    <t xml:space="preserve">尺寸顺序为内径×外径×宽度；两次订单为10只和2只。</t>
  </si>
  <si>
    <t xml:space="preserve">螺丝</t>
  </si>
  <si>
    <t xml:space="preserve">M2×4 十字盘头平尾自攻螺丝</t>
  </si>
  <si>
    <t xml:space="preserve">铁镀镍 / 十字圆头 / 平尾自攻 / M2×4</t>
  </si>
  <si>
    <t xml:space="preserve">按模型对应孔位选用</t>
  </si>
  <si>
    <t xml:space="preserve">固万基官方旗舰店</t>
  </si>
  <si>
    <t xml:space="preserve">M2*4[200只]镀镍</t>
  </si>
  <si>
    <t xml:space="preserve">按打印模型及对应安装位置选择长度；每包数量是备料数量。</t>
  </si>
  <si>
    <t xml:space="preserve">M2×5 十字盘头平尾自攻螺丝</t>
  </si>
  <si>
    <t xml:space="preserve">铁镀镍 / 十字圆头 / 平尾自攻 / M2×5</t>
  </si>
  <si>
    <t xml:space="preserve">M2*5[200只]镀镍</t>
  </si>
  <si>
    <t xml:space="preserve">按打印模型及对应安装位置选择长度；每包数量是备料数量。原订单商品金额为0元（订单优惠），不代表常规售价。</t>
  </si>
  <si>
    <t xml:space="preserve">M2×6 十字盘头平尾自攻螺丝</t>
  </si>
  <si>
    <t xml:space="preserve">铁镀镍 / 十字圆头 / 平尾自攻 / M2×6</t>
  </si>
  <si>
    <t xml:space="preserve">M2*6[200只]镀镍</t>
  </si>
  <si>
    <t xml:space="preserve">M2×8 十字盘头平尾自攻螺丝</t>
  </si>
  <si>
    <t xml:space="preserve">铁镀镍 / 十字圆头 / 平尾自攻 / M2×8</t>
  </si>
  <si>
    <t xml:space="preserve">M2*8[200只]镀镍</t>
  </si>
  <si>
    <t xml:space="preserve">M2×12 十字盘头平尾自攻螺丝</t>
  </si>
  <si>
    <t xml:space="preserve">铁镀镍 / 十字圆头 / 平尾自攻 / M2×12</t>
  </si>
  <si>
    <t xml:space="preserve">M2*12[200只]镀镍</t>
  </si>
  <si>
    <t xml:space="preserve">M2.6×8 十字盘头平尾自攻螺丝</t>
  </si>
  <si>
    <t xml:space="preserve">铁镀镍 / 十字圆头 / 平尾自攻 / M2.6×8</t>
  </si>
  <si>
    <t xml:space="preserve">M2.6*8[200只]镀镍</t>
  </si>
  <si>
    <t xml:space="preserve">相关订单匹配依据</t>
  </si>
  <si>
    <t xml:space="preserve">源：订单数据.xlsx；仅保留本次采购相关的103条商品记录。</t>
  </si>
  <si>
    <t xml:space="preserve">数量是订单拍数，不一定等于器件个数。每拍包装数量由商品款式单独解析。</t>
  </si>
  <si>
    <t xml:space="preserve">商品金额按原字段抄录，不作为统一单价，不混算采购总价。重复/旧版购买保留作依据。</t>
  </si>
  <si>
    <t xml:space="preserve">提交日期</t>
  </si>
  <si>
    <t xml:space="preserve">订单状态</t>
  </si>
  <si>
    <t xml:space="preserve">店铺</t>
  </si>
  <si>
    <t xml:space="preserve">商品名称（原文）</t>
  </si>
  <si>
    <t xml:space="preserve">型号款式（原文）</t>
  </si>
  <si>
    <t xml:space="preserve">商品数量(原值)</t>
  </si>
  <si>
    <t xml:space="preserve">商品金额(元，原字段)</t>
  </si>
  <si>
    <t xml:space="preserve">对应采购项 / 历史用途</t>
  </si>
  <si>
    <t xml:space="preserve">卖家已发货</t>
  </si>
  <si>
    <t xml:space="preserve">LSM6DSLTR LSM6DSOTR LSM6DSRTR LSM6DS3TR-C LSM6DSV16XTR LGA14</t>
  </si>
  <si>
    <t xml:space="preserve">同款或历史购买记录</t>
  </si>
  <si>
    <t xml:space="preserve">AMP2.0间距2.0 179228 电池端子连接线 舵机线 镍片端子线</t>
  </si>
  <si>
    <t xml:space="preserve">其他接口体系，按对应连接方案使用</t>
  </si>
  <si>
    <t xml:space="preserve">交易成功</t>
  </si>
  <si>
    <t xml:space="preserve">2.54MM间距 双排贴片排母 2*3/4/5/6/8/10/15/20/40P</t>
  </si>
  <si>
    <t xml:space="preserve">2*20P=5只</t>
  </si>
  <si>
    <t xml:space="preserve">凯特森工具</t>
  </si>
  <si>
    <t xml:space="preserve">精密清洗套装纳米清洁海绵高效吸附洗板水手机主板芯片维修强去污</t>
  </si>
  <si>
    <t xml:space="preserve">海绵清洗剂实惠组合</t>
  </si>
  <si>
    <t xml:space="preserve">洗板清洁套装</t>
  </si>
  <si>
    <t xml:space="preserve">安立信旗舰店</t>
  </si>
  <si>
    <t xml:space="preserve">安立信锡浆贴片焊接锡膏手机维修环保无铅高中低温焊锡膏针筒锡泥</t>
  </si>
  <si>
    <t xml:space="preserve">183℃中温有铅锡膏30G/支(常用款)  【送推杆/针头】</t>
  </si>
  <si>
    <t xml:space="preserve">183℃ 有铅锡膏针筒</t>
  </si>
  <si>
    <t xml:space="preserve">AMP2.0间距2.0 179228 电池端子线 端子连接线 电子线 镍片端子线</t>
  </si>
  <si>
    <t xml:space="preserve">亚润五金专营店</t>
  </si>
  <si>
    <t xml:space="preserve">白光BK701D热风枪焊台二合一锡焊电烙铁数显恒温风枪可调温拆焊台</t>
  </si>
  <si>
    <t xml:space="preserve">SBK701D旋钮款（气泵式/收藏送2支烙铁头）</t>
  </si>
  <si>
    <t xml:space="preserve">热风枪焊台</t>
  </si>
  <si>
    <t xml:space="preserve">0603/1608贴片电容 1u1.5u2.2u3.3u4.7u6.8u10u15u22u33u47uF</t>
  </si>
  <si>
    <t xml:space="preserve">0603 0805 1206贴片电阻 10R 100R 1K 2K 4.7K 10K 100K 1M 欧 1%</t>
  </si>
  <si>
    <t xml:space="preserve">22R/22欧;0603 1%（100个）</t>
  </si>
  <si>
    <t xml:space="preserve">TH1之前调试的22Ω电阻订单，当前采购采用原村田PTC</t>
  </si>
  <si>
    <t xml:space="preserve">无铅环保吸锡带焊盘清洁维修残留除锡渣吸锡线PCB电路板手机主板</t>
  </si>
  <si>
    <t xml:space="preserve">原装吸锡〖宽1.5mm长1.5米〗[X-100型1515]</t>
  </si>
  <si>
    <t xml:space="preserve">吸锡带</t>
  </si>
  <si>
    <t xml:space="preserve">信容芯 SH1.0转杜邦公/杜邦母2P3P4P5P6P7P8P9P10P 28AWG渡锡铜线</t>
  </si>
  <si>
    <t xml:space="preserve">CC0603KRX5R9BB105, CL10A105KB8NNNC</t>
  </si>
  <si>
    <t xml:space="preserve">0603/1608贴片电容 100n120n150n180n220n270nF 104 154 224 274K</t>
  </si>
  <si>
    <t xml:space="preserve">CC0603KRX7R9BB104, CL10B104JB8NNNC</t>
  </si>
  <si>
    <t xml:space="preserve">EH2.5MM直针插座 弯针 胶壳 间距2.54MM接插件 2P 3P 4P 5P 6P</t>
  </si>
  <si>
    <t xml:space="preserve">VL53L5X V2 TOF宽视场飞行时间多区域激光测距传感器模块VL53L5CX</t>
  </si>
  <si>
    <t xml:space="preserve">SI2300 2301 2302 2303 2304 2305 2306 2307 2308 2312DS 2309</t>
  </si>
  <si>
    <t xml:space="preserve">全新原装BAT54SW BAT54S SOT-323 丝印44t 肖特基贴片三极管 20只</t>
  </si>
  <si>
    <t xml:space="preserve">PTC热敏电阻 0603 100R 47R 33R 220R 470R 过电流热保护RPG18BB</t>
  </si>
  <si>
    <t xml:space="preserve">TH1原村田PRG18BB101MB1RB，100Ω PTC；当前采购款式</t>
  </si>
  <si>
    <t xml:space="preserve">0402 0603 0805 1206 1210贴片电容22UF 226K 226P X5R 10% 50V</t>
  </si>
  <si>
    <t xml:space="preserve">瑞莎 Radxa 迷你主板 ZERO 3W RK3566 四核CPU WiFi6 Microduck</t>
  </si>
  <si>
    <t xml:space="preserve">3525腔体-4Ω3W/8Ω2W BOX蓝牙音响扬声器安防喇叭 带1.25端子</t>
  </si>
  <si>
    <t xml:space="preserve">阔筹旗舰店</t>
  </si>
  <si>
    <t xml:space="preserve">防静电润轴镊子机械键盘短接镊子尖头弯头圆头精密电子元器件焊接</t>
  </si>
  <si>
    <t xml:space="preserve">防静电ESD-10【短尖头】</t>
  </si>
  <si>
    <t xml:space="preserve">防静电镊子</t>
  </si>
  <si>
    <t xml:space="preserve">中山市宝工电子有限公司</t>
  </si>
  <si>
    <t xml:space="preserve">厂家直销 有铅锡膏 6337锡膏 SMT贴片锡浆 LED锡膏 焊锡膏183℃</t>
  </si>
  <si>
    <t xml:space="preserve">手机维修焊锡膏50g</t>
  </si>
  <si>
    <t xml:space="preserve">183℃ 有铅锡膏</t>
  </si>
  <si>
    <t xml:space="preserve">皓越科技smt激光钢网</t>
  </si>
  <si>
    <t xml:space="preserve">手帖打样SMT钢网精密制造PCB模板贴片锡膏红胶LED钢网小钢片</t>
  </si>
  <si>
    <t xml:space="preserve">10*10cm</t>
  </si>
  <si>
    <t xml:space="preserve">定制贴片钢网</t>
  </si>
  <si>
    <t xml:space="preserve">XC6206P182MR 丝印65K5 SOT-23 1.8V 300MA 贴片稳压芯片 (20个)</t>
  </si>
  <si>
    <t xml:space="preserve">MMBT3904 1AM  MMBT3906 2A SOT-23贴片晶体功率三极管NPN PNP</t>
  </si>
  <si>
    <t xml:space="preserve">SOD-323稳压管BZT52C5V1S 2.4V3.3V4.7V5.1V10V12V15V24V30V33V47</t>
  </si>
  <si>
    <t xml:space="preserve">0603 10NF 50V 100V 250V 10% 103K X7R材质 1608贴片陶瓷电容</t>
  </si>
  <si>
    <t xml:space="preserve">贴片磁珠 0402 0603 0805 1206 0R/30R/60R/100R/600R/1K 全系列</t>
  </si>
  <si>
    <t xml:space="preserve">一体成型贴片功率电感0420/0520/0630/0650/1040/1265/1770/0850</t>
  </si>
  <si>
    <t xml:space="preserve">全新SN74LVC1G14 17 08 04 02 07 00 32 66 125 126DBVR SOT23-5</t>
  </si>
  <si>
    <t xml:space="preserve">SMD322550327050有源晶振4M8M12M16M20M24M25M27M30M32M40M50M</t>
  </si>
  <si>
    <t xml:space="preserve">原装正品 PAM8406DR 封装SOP16 音频放大器芯片</t>
  </si>
  <si>
    <t xml:space="preserve">深圳优盛电子科技</t>
  </si>
  <si>
    <t xml:space="preserve">100只包邮贴片电容0402 0603 0805 1206 1210 100NF 104K 1UF-106</t>
  </si>
  <si>
    <t xml:space="preserve">10UF (106) 精度10%;0603=100个;10V</t>
  </si>
  <si>
    <t xml:space="preserve">150R/150欧;0603 1%（100个）</t>
  </si>
  <si>
    <t xml:space="preserve">旧 HAT R33 的150Ω电阻，当前采购用0Ω</t>
  </si>
  <si>
    <t xml:space="preserve">原装正品 LM5050MKX-1/NOPB SOT-23-6 OR-ing FET控制器芯片</t>
  </si>
  <si>
    <t xml:space="preserve">SH1.0mm间距立贴/卧贴2P3P4P5P6P7P8P9P10P12P贴片式插头转接头</t>
  </si>
  <si>
    <t xml:space="preserve">2.54MM 单排母 双排母 SMT贴片双排母 2/3/4/5/6/7/8/9/10/20-40P</t>
  </si>
  <si>
    <t xml:space="preserve">2718/3722/3729上进音降噪硅mini麦克风贴片SMD咪头模拟信号 MEMS</t>
  </si>
  <si>
    <t xml:space="preserve">0603贴片高频电容 220p240p270p300p330p360p390p430pF NPO/COG</t>
  </si>
  <si>
    <t xml:space="preserve">全新原装 TLV320AIC3104IRHBR 丝印AC3104I VQFN-32 解码器芯片</t>
  </si>
  <si>
    <t xml:space="preserve">暂无</t>
  </si>
  <si>
    <t xml:space="preserve">深圳市豪芯微电子 只做原装</t>
  </si>
  <si>
    <t xml:space="preserve">原装正品 SN74LVC1G08DBVR 逻辑芯片 封装SOT23-5   SN74LVC1G08</t>
  </si>
  <si>
    <t xml:space="preserve">全新原装 LSM6DSV16XTR 丝印S6 姿态传感器芯片IC 贴片 LGA-14</t>
  </si>
  <si>
    <t xml:space="preserve">原装LSM6DSV16XTR LGA-14 6DoF惯性测量3D加速度陀螺仪传感器芯片</t>
  </si>
  <si>
    <t xml:space="preserve">原装 STM32G031F8P6 TSSOP-20 ARM Cortex-M0+ 32位微控制器-MCU</t>
  </si>
  <si>
    <t xml:space="preserve">安佑卓旗舰店</t>
  </si>
  <si>
    <t xml:space="preserve">5264直针座2.5mm间距2 3 4 5 6 7 8 9 10 11 12P插座连接器接插件</t>
  </si>
  <si>
    <t xml:space="preserve">（50个）直针座5264-3P</t>
  </si>
  <si>
    <t xml:space="preserve">2.54mm 单排排针 1*2P/3/4/5/6/7/8/9/10/11/12/40P 针总长11.3mm</t>
  </si>
  <si>
    <t xml:space="preserve">0805贴片电容 1U1.5U2.2U3.3U4.7U6.8U10UF15UF22U33U47U68U100UF</t>
  </si>
  <si>
    <t xml:space="preserve">zazr旗舰店</t>
  </si>
  <si>
    <t xml:space="preserve">ST-LINK V2 STM8/STM32仿真器编程stlink下载器线烧录调试单片机</t>
  </si>
  <si>
    <t xml:space="preserve">ST-LINK V2 仿真器 进口芯片软件可升级版本（颜色随机发）1个</t>
  </si>
  <si>
    <t xml:space="preserve">ST-LINK V2</t>
  </si>
  <si>
    <t xml:space="preserve">0402 0603 0805 1206贴片LED发光二极管 红黄冰蓝翠绿白橙粉紫色</t>
  </si>
  <si>
    <t xml:space="preserve">0603红色=100个</t>
  </si>
  <si>
    <t xml:space="preserve">原装正品 PESD5V0S1BA SOD-323 双向ESD静电防护二极管</t>
  </si>
  <si>
    <t xml:space="preserve">原装正品 SN74LVC2G125DCUR VSSOP-8 三态输出双总线缓冲器闸芯片</t>
  </si>
  <si>
    <t xml:space="preserve">原装正品 TLV70433DBVR SOT-23-5 低压降稳压器(LDO)芯片</t>
  </si>
  <si>
    <t xml:space="preserve">全新原装正品 AP63205WU-7 封装TSOT-26 丝印T5 DC-DC电源芯片</t>
  </si>
  <si>
    <t xml:space="preserve">1206贴片电容 1UF2.2U3.3U4.7U6.8U10U15U22U33U47U68U100UF220UF</t>
  </si>
  <si>
    <t xml:space="preserve">交易关闭</t>
  </si>
  <si>
    <t xml:space="preserve">汉邦电子</t>
  </si>
  <si>
    <t xml:space="preserve">擎威恒温加热台智能定时可调温加热板回流焊接实验室手机拆屏焊台</t>
  </si>
  <si>
    <t xml:space="preserve">【150*100mm】智能定时/3组温度预设</t>
  </si>
  <si>
    <t xml:space="preserve">恒温加热台</t>
  </si>
  <si>
    <t xml:space="preserve">YGTCTECH永冠同创</t>
  </si>
  <si>
    <t xml:space="preserve">BGA手机维修焊接助焊膏焊油焊剂无铅无卤助焊剂免洗焊锡膏针筒装</t>
  </si>
  <si>
    <t xml:space="preserve">YG-336环保无铅BGA针筒助焊膏10g</t>
  </si>
  <si>
    <t xml:space="preserve">助焊膏</t>
  </si>
  <si>
    <t xml:space="preserve">铁镀镍十字圆头平尾自攻螺丝PB盘头小螺钉M2/M2.3/M2.6/M3/M3.5M4</t>
  </si>
  <si>
    <t xml:space="preserve">鸭子本体用料：M2×5 十字盘头平尾自攻螺丝</t>
  </si>
  <si>
    <t xml:space="preserve">沣标NP-F550/F750补光灯电池适用LED补光灯监视器摄影灯通用 F770 f960 f970内置type-c</t>
  </si>
  <si>
    <t xml:space="preserve">鸭子本体用料：NP-F550 电池与双充套装</t>
  </si>
  <si>
    <t xml:space="preserve">特软硅胶排线平行线耐高温柔软多芯并线2/3/4/5/6/8/10/12/14pin</t>
  </si>
  <si>
    <t xml:space="preserve">鸭子本体用料：22AWG 三芯硅胶排线</t>
  </si>
  <si>
    <t xml:space="preserve">22AWG三芯硅胶排线，补充1米</t>
  </si>
  <si>
    <t xml:space="preserve">美标特软耐高温硅胶线17 18 20 22 24 26 30AWG新能源软线航模线</t>
  </si>
  <si>
    <t xml:space="preserve">鸭子本体用料：22AWG 单芯硅胶线</t>
  </si>
  <si>
    <t xml:space="preserve">两倍热缩管家用接线套管组合热缩套装绝缘电工用电线保护套彩色</t>
  </si>
  <si>
    <t xml:space="preserve">鸭子本体用料：彩色热缩管套装</t>
  </si>
  <si>
    <t xml:space="preserve">白光安泰信品牌经营店</t>
  </si>
  <si>
    <t xml:space="preserve">白光900M烙铁头936电烙铁恒温焊台刀头弯尖马蹄一字嘴937电焊接咀</t>
  </si>
  <si>
    <t xml:space="preserve">900M-T-LI长尖头</t>
  </si>
  <si>
    <t xml:space="preserve">制作工具与耗材：900M-T-LI 长尖头</t>
  </si>
  <si>
    <t xml:space="preserve">900M-T-SK小刀头</t>
  </si>
  <si>
    <t xml:space="preserve">制作工具与耗材：900M-T-SK 小刀头</t>
  </si>
  <si>
    <t xml:space="preserve">鸭子本体用料：M2×12 十字盘头平尾自攻螺丝</t>
  </si>
  <si>
    <t xml:space="preserve">鸭子本体用料：M2×8 十字盘头平尾自攻螺丝</t>
  </si>
  <si>
    <t xml:space="preserve">鸭子本体用料：M2×6 十字盘头平尾自攻螺丝</t>
  </si>
  <si>
    <t xml:space="preserve">鸭子本体用料：M2×4 十字盘头平尾自攻螺丝</t>
  </si>
  <si>
    <t xml:space="preserve">鸭子本体用料：M2.6×8 十字盘头平尾自攻螺丝</t>
  </si>
  <si>
    <t xml:space="preserve">【预售30天】飞特金属齿机器鸭具身智能开源AI专用串口总线舵机</t>
  </si>
  <si>
    <t xml:space="preserve">鸭子本体用料：飞特 HD1910 串口总线舵机</t>
  </si>
  <si>
    <t xml:space="preserve">高速不锈钢薄壁轴承61700ZZ S6700-2RS 尺寸10*15*4*3mm 6700开式</t>
  </si>
  <si>
    <t xml:space="preserve">鸭子本体用料：6700 开式薄壁轴承</t>
  </si>
  <si>
    <t xml:space="preserve">英制不锈钢超薄壁轴承SET2216 DDA2216 MR1622 16224 尺寸16*22*4</t>
  </si>
  <si>
    <t xml:space="preserve">鸭子本体用料：ET2216 薄壁轴承</t>
  </si>
  <si>
    <t xml:space="preserve">飞特HD1910舵机，补充2只（与13只订单合计15只）</t>
  </si>
  <si>
    <t xml:space="preserve">FE-URT2-C001</t>
  </si>
  <si>
    <t xml:space="preserve">制作工具与耗材：飞特 USB 调试转接板</t>
  </si>
  <si>
    <t xml:space="preserve">ET2216轴承，补充2只（合计12只含备料）</t>
  </si>
  <si>
    <t xml:space="preserve">6700轴承，补充2只（合计5只含备料）</t>
  </si>
  <si>
    <t xml:space="preserve">瑞莎 Radxa 8M 219 摄像头 800万像素 IMX219 传感器</t>
  </si>
  <si>
    <t xml:space="preserve">鸭子本体用料：Radxa 8M 219 摄像头</t>
  </si>
  <si>
    <t xml:space="preserve">安立信936A电烙铁恒温焊台可调温家用维修焊接工具套装焊锡枪60W</t>
  </si>
  <si>
    <t xml:space="preserve">安立信937A升级数显（套餐二）</t>
  </si>
  <si>
    <t xml:space="preserve">制作工具与耗材：安立信937A 数显焊台</t>
  </si>
  <si>
    <t xml:space="preserve">制作工具与耗材：恒温加热台</t>
  </si>
  <si>
    <t xml:space="preserve">OLK唐宏五金工具店</t>
  </si>
  <si>
    <t xml:space="preserve">OLK芯片手机维修锡浆无铅 中高低温焊锡膏锡泥贴片焊接针筒锡膏</t>
  </si>
  <si>
    <t xml:space="preserve">183℃熔点有铅锡浆10g+杆针</t>
  </si>
  <si>
    <t xml:space="preserve">制作工具与耗材：183℃ 有铅锡膏 10g 针筒</t>
  </si>
  <si>
    <t xml:space="preserve">制作工具与耗材</t>
  </si>
  <si>
    <t xml:space="preserve">焊接、回流、贴装、清洁和调试用品。已有工具可继续使用。</t>
  </si>
  <si>
    <t xml:space="preserve">钢网按对应Gerber定制；锡膏包装按习惯选择。</t>
  </si>
  <si>
    <t xml:space="preserve">烧录工具</t>
  </si>
  <si>
    <t xml:space="preserve">STM32 仿真器，订单进口芯片版本</t>
  </si>
  <si>
    <t xml:space="preserve">已有可不买</t>
  </si>
  <si>
    <t xml:space="preserve">用于 IMU STM32 的 SWD 烧录。</t>
  </si>
  <si>
    <t xml:space="preserve">制作耗材</t>
  </si>
  <si>
    <t xml:space="preserve">10×10cm 规格</t>
  </si>
  <si>
    <t xml:space="preserve">HAT、IMU按各自Gerber定制</t>
  </si>
  <si>
    <t xml:space="preserve">这是定制商品链接，付款后需提供对应钢网文件；订单没有保存具体开孔内容。</t>
  </si>
  <si>
    <t xml:space="preserve">63/37，订单50g罐装</t>
  </si>
  <si>
    <t xml:space="preserve">与家庭回流工艺对应；按实际工具和温度流程使用。</t>
  </si>
  <si>
    <t xml:space="preserve">30g / 针筒 / 含推杆针头</t>
  </si>
  <si>
    <t xml:space="preserve">与上一条按习惯选用</t>
  </si>
  <si>
    <t xml:space="preserve">与罐装锡膏是另一包装方案，不需要两种都买。</t>
  </si>
  <si>
    <t xml:space="preserve">制作工具</t>
  </si>
  <si>
    <t xml:space="preserve">ESD-10 短尖头</t>
  </si>
  <si>
    <t xml:space="preserve">用于贴装。</t>
  </si>
  <si>
    <t xml:space="preserve">150×100mm / 定时 / 3组温度预设</t>
  </si>
  <si>
    <t xml:space="preserve">订单记录对应家庭回流工具。</t>
  </si>
  <si>
    <t xml:space="preserve">返修工具</t>
  </si>
  <si>
    <t xml:space="preserve">SBK701D旋钮款（气泵式）</t>
  </si>
  <si>
    <t xml:space="preserve">按返修需求选用</t>
  </si>
  <si>
    <t xml:space="preserve">可用于返修；不计入 PCB BOM。</t>
  </si>
  <si>
    <t xml:space="preserve">返修耗材</t>
  </si>
  <si>
    <t xml:space="preserve">1.5mm宽 / 1.5m / X-100型1515</t>
  </si>
  <si>
    <t xml:space="preserve">用于焊盘清理。</t>
  </si>
  <si>
    <t xml:space="preserve">YG-336 / 10g 针筒</t>
  </si>
  <si>
    <t xml:space="preserve">原订单款式；不计入 PCB BOM。</t>
  </si>
  <si>
    <t xml:space="preserve">清洁耗材</t>
  </si>
  <si>
    <t xml:space="preserve">海绵清洗剂组合</t>
  </si>
  <si>
    <t xml:space="preserve">原订单未提供清洗剂成分，不将其列为电气材料。</t>
  </si>
  <si>
    <t xml:space="preserve">舵机调试工具</t>
  </si>
  <si>
    <t xml:space="preserve">飞特 USB 调试转接板</t>
  </si>
  <si>
    <t xml:space="preserve">烧录、配置及调试时选用</t>
  </si>
  <si>
    <t xml:space="preserve">调试工具，按FE-URT2-C001选项购买。</t>
  </si>
  <si>
    <t xml:space="preserve">焊接工具</t>
  </si>
  <si>
    <t xml:space="preserve">安立信937A 数显焊台</t>
  </si>
  <si>
    <t xml:space="preserve">937A升级数显 / 套餐二</t>
  </si>
  <si>
    <t xml:space="preserve">已有可省</t>
  </si>
  <si>
    <t xml:space="preserve">订单购买的电烙铁焊台，用于手工焊接。</t>
  </si>
  <si>
    <t xml:space="preserve">烙铁头</t>
  </si>
  <si>
    <t xml:space="preserve">900M-T-LI 长尖头</t>
  </si>
  <si>
    <t xml:space="preserve">900M-T-LI</t>
  </si>
  <si>
    <t xml:space="preserve">按焊接习惯选用</t>
  </si>
  <si>
    <t xml:space="preserve">按900M-T-LI长尖头款式购买。</t>
  </si>
  <si>
    <t xml:space="preserve">900M-T-SK 小刀头</t>
  </si>
  <si>
    <t xml:space="preserve">900M-T-SK</t>
  </si>
  <si>
    <t xml:space="preserve">按900M-T-SK小刀头款式购买。</t>
  </si>
  <si>
    <t xml:space="preserve">183℃ 有铅锡膏 10g 针筒</t>
  </si>
  <si>
    <t xml:space="preserve">183℃熔点 / 有铅 / 10g / 配杆针</t>
  </si>
  <si>
    <t xml:space="preserve">按包装习惯选购</t>
  </si>
  <si>
    <t xml:space="preserve">与50g罐装、30g针筒是不同包装选择。</t>
  </si>
  <si>
    <t xml:space="preserve">HAT 与 IMU 制作成本</t>
  </si>
  <si>
    <t xml:space="preserve">按历史订单实付（含原运费）分摊，单板材料与整包采购分别计算。配件、舵机和工具另见采购表。</t>
  </si>
  <si>
    <t xml:space="preserve">PCB每批金额(元)</t>
  </si>
  <si>
    <t xml:space="preserve">PCB每批张数</t>
  </si>
  <si>
    <t xml:space="preserve">钢网每张(元)</t>
  </si>
  <si>
    <t xml:space="preserve">单板材料成本</t>
  </si>
  <si>
    <t xml:space="preserve">HAT</t>
  </si>
  <si>
    <t xml:space="preserve">IMU</t>
  </si>
  <si>
    <t xml:space="preserve">合计</t>
  </si>
  <si>
    <t xml:space="preserve">板上元器件（含历史运费分摊）</t>
  </si>
  <si>
    <t xml:space="preserve">PCB：有免费券</t>
  </si>
  <si>
    <t xml:space="preserve">有券：材料成本</t>
  </si>
  <si>
    <t xml:space="preserve">PCB：无券，折算单板</t>
  </si>
  <si>
    <t xml:space="preserve">无券：材料成本</t>
  </si>
  <si>
    <t xml:space="preserve">首次按包装采购（商品金额，运费另计）</t>
  </si>
  <si>
    <t xml:space="preserve">项目</t>
  </si>
  <si>
    <t xml:space="preserve">仅HAT</t>
  </si>
  <si>
    <t xml:space="preserve">仅IMU</t>
  </si>
  <si>
    <t xml:space="preserve">两板合并采购</t>
  </si>
  <si>
    <t xml:space="preserve">按包装采购元器件商品金额</t>
  </si>
  <si>
    <t xml:space="preserve">有券：首批商品预算</t>
  </si>
  <si>
    <t xml:space="preserve">无券PCB首批：每种5张</t>
  </si>
  <si>
    <t xml:space="preserve">无券：首批商品预算</t>
  </si>
  <si>
    <t xml:space="preserve">钢网可重复使用。各做1张时另加24元；锡膏、工具、主控、舵机和外接模块另计。</t>
  </si>
  <si>
    <t xml:space="preserve">NP-F550：2电＋标准双充，1套商品金额</t>
  </si>
  <si>
    <t xml:space="preserve">本次板卡＋1套NP-F550：PCB有券</t>
  </si>
  <si>
    <t xml:space="preserve">本次板卡＋1套NP-F550：PCB无券</t>
  </si>
  <si>
    <t xml:space="preserve">元器件计算明细：按商品金额占比分摊订单实付；来源为订单数据.xlsx，对应源行见O列。</t>
  </si>
  <si>
    <t xml:space="preserve">型号 / 指定款式</t>
  </si>
  <si>
    <t xml:space="preserve">订单商品金额/拍</t>
  </si>
  <si>
    <t xml:space="preserve">该订单商品金额合计</t>
  </si>
  <si>
    <t xml:space="preserve">该订单实付金额</t>
  </si>
  <si>
    <t xml:space="preserve">单个实付分摊成本</t>
  </si>
  <si>
    <t xml:space="preserve">HAT单板数量</t>
  </si>
  <si>
    <t xml:space="preserve">IMU单板数量</t>
  </si>
  <si>
    <t xml:space="preserve">本次HAT用料成本</t>
  </si>
  <si>
    <t xml:space="preserve">本次IMU用料成本</t>
  </si>
  <si>
    <t xml:space="preserve">合并整包商品金额</t>
  </si>
  <si>
    <t xml:space="preserve">仅HAT整包商品金额</t>
  </si>
  <si>
    <t xml:space="preserve">仅IMU整包商品金额</t>
  </si>
  <si>
    <t xml:space="preserve">CC0603KRX5R9BB105 / CL10A105KB8NNNC
0603 1uF ±10% X7R;50V</t>
  </si>
  <si>
    <t xml:space="preserve">C1608X5R1A106KT000E
0603 10uF ±10% X5R;10V</t>
  </si>
  <si>
    <t xml:space="preserve">0603CG221J500NT
0603 220pF ±5% NPO/COG;50V;100个</t>
  </si>
  <si>
    <t xml:space="preserve">CC0603KRX7R9BB104 / CL10B104JB8NNNC
0603 100nF ±10% X7R;50V;100个</t>
  </si>
  <si>
    <t xml:space="preserve">C3216X7R1V106KT000E
1206 10UF ±10% X7R;35V</t>
  </si>
  <si>
    <t xml:space="preserve">GRM188R61A226ME15D
22UF 226K 10% X5R;10V;0603=100个</t>
  </si>
  <si>
    <t xml:space="preserve">CC0603KRX7R9BB103
0603 10NF 50V 10% 100个</t>
  </si>
  <si>
    <t xml:space="preserve">BAT54SW,115
BAT54SW 印字44t（20只）</t>
  </si>
  <si>
    <t xml:space="preserve">BZT52C5V1S-7-F
BZT52C5V1S W8 SOD-323 (50个)</t>
  </si>
  <si>
    <t xml:space="preserve">BLM18KG601SN1D
0603_600R_1.3A_±25%【100只】</t>
  </si>
  <si>
    <t xml:space="preserve">PE-0603PFB121ST
0603_120R_2A_±25%【100只】</t>
  </si>
  <si>
    <t xml:space="preserve">B2B-EH-A(LF)(SN)
EH2.5MM 2P直针座（50个）</t>
  </si>
  <si>
    <t xml:space="preserve">FH-00339
2*20P 贴片排母【2个】</t>
  </si>
  <si>
    <t xml:space="preserve">BM04B-SRSS-TB(LF)(SN)
4P立贴（15个）</t>
  </si>
  <si>
    <t xml:space="preserve">B3B-EH-A(LF)(SN)
EH2.5MM 3P直针座（50个）</t>
  </si>
  <si>
    <t xml:space="preserve">SWPA6045S6R8MT
合金0630 6.8UH 印6R8 10个 6A 一体</t>
  </si>
  <si>
    <t xml:space="preserve">LMA2718T421-OA5-2
2718 上进音 硅麦克风【2个】</t>
  </si>
  <si>
    <t xml:space="preserve">MMBT3906
MMBT3906 丝印2A SOT-23(50个)</t>
  </si>
  <si>
    <t xml:space="preserve">SI2312CDS-T1-GE3
SI2312DS（AE9T）N沟道（20只）</t>
  </si>
  <si>
    <t xml:space="preserve">RC0603FR-0710KL
10K;0603 1%（100个）</t>
  </si>
  <si>
    <t xml:space="preserve">0603WAF0000T5E
0R/0欧;0603 1%（100个）</t>
  </si>
  <si>
    <t xml:space="preserve">0603WAF1000T5E
100R/100欧;0603 1%（100个）</t>
  </si>
  <si>
    <t xml:space="preserve">0603WAF2002T5E
20K;0603 1%（100个）</t>
  </si>
  <si>
    <t xml:space="preserve">PRG18BB101MB1RB
100R  PRG18BB101MB1RB</t>
  </si>
  <si>
    <t xml:space="preserve">PAM8406DR
PAM8406DR</t>
  </si>
  <si>
    <t xml:space="preserve">TLV320AIC3104IRHBR
商品无选项，按商品标题完整型号购买</t>
  </si>
  <si>
    <t xml:space="preserve">XC6206P182MR
XC6206P182MR 65K5 SOT-23 (20个)</t>
  </si>
  <si>
    <t xml:space="preserve">SN74LVC1G08DBVR
SN74LVC1G08DBVR;5个全国包邮</t>
  </si>
  <si>
    <t xml:space="preserve">SN74LVC1G125DBVR-TP
SN74LVC1G125DBVR;5个全国包邮</t>
  </si>
  <si>
    <t xml:space="preserve">SN74LVC1G126DBVR
SN74LVC1G126DBVR;5个全国包邮</t>
  </si>
  <si>
    <t xml:space="preserve">AP63205WU-7
AP63205WU-7</t>
  </si>
  <si>
    <t xml:space="preserve">LM5050MKX-1/NOPB
SOT-23;LM5050MKX-1/NOPB  原装正品</t>
  </si>
  <si>
    <t xml:space="preserve">OT3EL89CJI-111YLC-12M
12MHZ 1.2V~3.36V宽压[高精度10PPM];SMD2520-4P CMOS输出</t>
  </si>
  <si>
    <t xml:space="preserve">CL21A475KAQNNNE
0805 4.7UF ±10% X7R;25V</t>
  </si>
  <si>
    <t xml:space="preserve">PESD5V0S1BA
商品无选项，按商品标题完整型号购买</t>
  </si>
  <si>
    <t xml:space="preserve">19-217/GHC-YR1S2/3T
0603 蓝色=100个</t>
  </si>
  <si>
    <t xml:space="preserve">PZ254V-11-05P
1*5P直针 铜（30条）</t>
  </si>
  <si>
    <t xml:space="preserve">RC0603FR-07100KL
100K;0603 1%（100个）</t>
  </si>
  <si>
    <t xml:space="preserve">0603WAF330JT5E
33R/33欧;0603 1%（100个）</t>
  </si>
  <si>
    <t xml:space="preserve">0603WAF1001T5E
1K;0603 1%（100个）</t>
  </si>
  <si>
    <t xml:space="preserve">STM32G031F8P6
全新原装</t>
  </si>
  <si>
    <t xml:space="preserve">LSM6DSV16XTR
LSM6DSV16XTR</t>
  </si>
  <si>
    <t xml:space="preserve">TLV70433DBVR
TLV70433DBVR</t>
  </si>
  <si>
    <t xml:space="preserve">SN74LVC2G125DCUR
商品无选项，按商品标题完整型号购买</t>
  </si>
  <si>
    <t xml:space="preserve">鸭子本体采购列表与合计</t>
  </si>
  <si>
    <t xml:space="preserve">鸭子本体＋PCB汇总，含参考备料；HAT/IMU各按整板计价，原器件表不动。3D打印、制作工具、焊接清洁耗材不计入。</t>
  </si>
  <si>
    <t xml:space="preserve">PCB有免费券：已列商品合计</t>
  </si>
  <si>
    <t xml:space="preserve">PCB无券：按单张折算合计</t>
  </si>
  <si>
    <t xml:space="preserve">首次整包整批采购：PCB免费</t>
  </si>
  <si>
    <t xml:space="preserve">首次整包整批采购：PCB无券</t>
  </si>
  <si>
    <t xml:space="preserve">HAT/IMU接口使用EH，舵机使用AMP2.0成品线（10cm、20cm）。数量含备料，螺丝按整包；M2×5原订单为0元优惠价。TF卡等未提供价格的项目未计入。</t>
  </si>
  <si>
    <t xml:space="preserve">商品 / 模块</t>
  </si>
  <si>
    <t xml:space="preserve">计价单位</t>
  </si>
  <si>
    <t xml:space="preserve">参考采购数量</t>
  </si>
  <si>
    <t xml:space="preserve">历史单价(元)</t>
  </si>
  <si>
    <t xml:space="preserve">小计(元)</t>
  </si>
  <si>
    <t xml:space="preserve">数量与费用说明</t>
  </si>
  <si>
    <t xml:space="preserve">商品或BOM链接</t>
  </si>
  <si>
    <t xml:space="preserve">HAT 整板</t>
  </si>
  <si>
    <t xml:space="preserve">HAT-V5，84个板上器件，含PCB</t>
  </si>
  <si>
    <t xml:space="preserve">块</t>
  </si>
  <si>
    <t xml:space="preserve">按单板实际用料分摊，PCB免费券基准；无券每块另加4元。</t>
  </si>
  <si>
    <t xml:space="preserve">IMU 整板</t>
  </si>
  <si>
    <t xml:space="preserve">IMU-TO-DLX-V2，25个板上器件，含PCB</t>
  </si>
  <si>
    <t xml:space="preserve">HD-1910-C001；HD-1910-C001</t>
  </si>
  <si>
    <t xml:space="preserve">只</t>
  </si>
  <si>
    <t xml:space="preserve">2GB RAM 无 eMMC 带排针[【Microduck 原版主板】]；2GB RAM / 无eMMC / 带排针</t>
  </si>
  <si>
    <t xml:space="preserve">个</t>
  </si>
  <si>
    <t xml:space="preserve">【NP-F550补光灯专用▲2200mAh】2电+标准双充套裝；沣标 NP-F550 / 2200mAh / 2块电池＋标准双充</t>
  </si>
  <si>
    <t xml:space="preserve">套</t>
  </si>
  <si>
    <t xml:space="preserve">8M 219 摄像头[【适配3W/3E/3A/3C/CM5/4系列】]；IMX219 / 800万像素 / 瑞莎8M 219</t>
  </si>
  <si>
    <t xml:space="preserve">VL53L5X V2模块配盖片；VL53L5X V2模块配盖片（商品标题 VL53L5CX）</t>
  </si>
  <si>
    <t xml:space="preserve">3525腔体-4Ω3W/喇叭；3525 腔体 / 4Ω 3W</t>
  </si>
  <si>
    <t xml:space="preserve">6700开式【轴承钢·精品级】10*15*3MM；6700开式 / 10×15×3mm / 轴承钢精品级</t>
  </si>
  <si>
    <t xml:space="preserve">按订单参考采购数量计入，包含备料；尺寸顺序为内径×外径×宽度；两次订单为3只和2只。</t>
  </si>
  <si>
    <t xml:space="preserve">ET2216【精品级】16*22*4MM[轴承钢]；ET2216 / 16×22×4mm / 轴承钢精品级</t>
  </si>
  <si>
    <t xml:space="preserve">按订单参考采购数量计入，包含备料；尺寸顺序为内径×外径×宽度；两次订单为10只和2只。</t>
  </si>
  <si>
    <t xml:space="preserve">M2*4[200只]镀镍；铁镀镍 / 十字圆头 / 平尾自攻 / M2×4</t>
  </si>
  <si>
    <t xml:space="preserve">包（200个）</t>
  </si>
  <si>
    <t xml:space="preserve">每种买1包（200只），包含备料；按打印模型及对应安装位置选择长度；每包数量是备料数量。</t>
  </si>
  <si>
    <t xml:space="preserve">M2*5[200只]镀镍；铁镀镍 / 十字圆头 / 平尾自攻 / M2×5</t>
  </si>
  <si>
    <t xml:space="preserve">每种买1包（200只），包含备料；按打印模型及对应安装位置选择长度；每包数量是备料数量。原订单商品金额为0元（订单优惠），不代表常规售价。</t>
  </si>
  <si>
    <t xml:space="preserve">M2*6[200只]镀镍；铁镀镍 / 十字圆头 / 平尾自攻 / M2×6</t>
  </si>
  <si>
    <t xml:space="preserve">M2*8[200只]镀镍；铁镀镍 / 十字圆头 / 平尾自攻 / M2×8</t>
  </si>
  <si>
    <t xml:space="preserve">M2*12[200只]镀镍；铁镀镍 / 十字圆头 / 平尾自攻 / M2×12</t>
  </si>
  <si>
    <t xml:space="preserve">M2.6*8[200只]镀镍；铁镀镍 / 十字圆头 / 平尾自攻 / M2.6×8</t>
  </si>
  <si>
    <t xml:space="preserve">EH2.5MM 2P胶壳（50个）；EH 2P，配 HAT J1/J2/J9</t>
  </si>
  <si>
    <t xml:space="preserve">包（50个）</t>
  </si>
  <si>
    <t xml:space="preserve">EH2.5MM 3P胶壳（50个）；EH 3P，配 HAT J13/J14、IMU J1</t>
  </si>
  <si>
    <t xml:space="preserve">EH2.5MM 端子（100个）；EH2.5MM 端子</t>
  </si>
  <si>
    <t xml:space="preserve">包（100个）</t>
  </si>
  <si>
    <t xml:space="preserve">0.2m;1.0-4P转杜邦母（5条）；SH1.0 4P / 20cm / 杜邦母</t>
  </si>
  <si>
    <t xml:space="preserve">包（5个）</t>
  </si>
  <si>
    <t xml:space="preserve">200mm;1007/24#;3P;AMP2.0；200mm / 1007 / 24AWG / 3P / AMP2.0</t>
  </si>
  <si>
    <t xml:space="preserve">条</t>
  </si>
  <si>
    <t xml:space="preserve">按订单参考采购数量计入，包含备料；用于飞特舵机线束；10cm和20cm按实际走线位置选择。</t>
  </si>
  <si>
    <t xml:space="preserve">100mm;1007/24#;3P;AMP2.0；100mm / 1007 / 24AWG / 3P / AMP2.0</t>
  </si>
  <si>
    <t xml:space="preserve">按订单参考采购数量计入，包含备料；与20cm线是不同长度选项，数量按实际线束方案准备。</t>
  </si>
  <si>
    <t xml:space="preserve">黑色;3芯;22AWG;1m；黑色 / 3芯 / 22AWG / 1m</t>
  </si>
  <si>
    <t xml:space="preserve">米</t>
  </si>
  <si>
    <t xml:space="preserve">原订单2米×3.63元＋1米×3.52元，合计3米10.78元；单价按两次订单均价。</t>
  </si>
  <si>
    <t xml:space="preserve">22AWG(0.33平方)黑色 2米；黑色 / 22AWG / 0.33mm² / 2m</t>
  </si>
  <si>
    <t xml:space="preserve">袋装 164片 彩色 【2倍收缩】；164片 / 彩色 / 2倍收缩</t>
  </si>
</sst>
</file>

<file path=xl/styles.xml><?xml version="1.0" encoding="utf-8"?>
<styleSheet xmlns="http://schemas.openxmlformats.org/spreadsheetml/2006/main">
  <numFmts count="17">
    <numFmt numFmtId="164" formatCode="General"/>
    <numFmt numFmtId="165" formatCode="_(* #,##0.00_);_(* \(#,##0.00\);_(* \-??_);_(@_)"/>
    <numFmt numFmtId="166" formatCode="_(* #,##0.00_);_(* \(#,##0.00\);_(* \-??_);_(@_)"/>
    <numFmt numFmtId="167" formatCode="_(* #,##0_);_(* \(#,##0\);_(* \-_);_(@_)"/>
    <numFmt numFmtId="168" formatCode="_(* #,##0_);_(* \(#,##0\);_(* \-_);_(@_)"/>
    <numFmt numFmtId="169" formatCode="_(\$* #,##0.00_);_(\$* \(#,##0.00\);_(\$* \-??_);_(@_)"/>
    <numFmt numFmtId="170" formatCode="_(\$* #,##0.00_);_(\$* \(#,##0.00\);_(\$* \-??_);_(@_)"/>
    <numFmt numFmtId="171" formatCode="_(\$* #,##0_);_(\$* \(#,##0\);_(\$* \-_);_(@_)"/>
    <numFmt numFmtId="172" formatCode="_(\$* #,##0_);_(\$* \(#,##0\);_(\$* \-_);_(@_)"/>
    <numFmt numFmtId="173" formatCode="0%"/>
    <numFmt numFmtId="174" formatCode="0"/>
    <numFmt numFmtId="175" formatCode="\¥0.00"/>
    <numFmt numFmtId="176" formatCode="yyyy\-mm\-dd"/>
    <numFmt numFmtId="177" formatCode="0.00"/>
    <numFmt numFmtId="178" formatCode="\¥0.000000"/>
    <numFmt numFmtId="179" formatCode="\¥0.00"/>
    <numFmt numFmtId="180" formatCode="\¥0.0000"/>
  </numFmts>
  <fonts count="24">
    <font>
      <sz val="10"/>
      <name val="Arial"/>
      <family val="2"/>
    </font>
    <font>
      <sz val="10"/>
      <name val="Arial"/>
      <family val="0"/>
    </font>
    <font>
      <sz val="10"/>
      <name val="Arial"/>
      <family val="0"/>
    </font>
    <font>
      <sz val="10"/>
      <name val="Arial"/>
      <family val="0"/>
    </font>
    <font>
      <sz val="10"/>
      <name val="Arial"/>
      <family val="0"/>
      <charset val="1"/>
    </font>
    <font>
      <sz val="10"/>
      <name val="Arial"/>
      <family val="2"/>
      <charset val="1"/>
    </font>
    <font>
      <sz val="11"/>
      <name val="Calibri"/>
      <family val="0"/>
      <charset val="1"/>
    </font>
    <font>
      <sz val="10"/>
      <color rgb="FF203047"/>
      <name val="Noto Sans CJK SC"/>
      <family val="0"/>
      <charset val="1"/>
    </font>
    <font>
      <b val="true"/>
      <sz val="16"/>
      <color rgb="FF263858"/>
      <name val="Noto Sans CJK SC"/>
      <family val="0"/>
      <charset val="1"/>
    </font>
    <font>
      <sz val="10"/>
      <color rgb="FF607086"/>
      <name val="Noto Sans CJK SC"/>
      <family val="0"/>
      <charset val="1"/>
    </font>
    <font>
      <b val="true"/>
      <sz val="10"/>
      <color rgb="FFFFFFFF"/>
      <name val="Noto Sans CJK SC"/>
      <family val="0"/>
      <charset val="1"/>
    </font>
    <font>
      <u val="single"/>
      <sz val="10"/>
      <color rgb="FF145CAE"/>
      <name val="Noto Sans CJK SC"/>
      <family val="0"/>
      <charset val="1"/>
    </font>
    <font>
      <b val="true"/>
      <sz val="18"/>
      <color rgb="FF233653"/>
      <name val="Noto Sans CJK SC"/>
      <family val="0"/>
      <charset val="1"/>
    </font>
    <font>
      <u val="single"/>
      <sz val="10"/>
      <color rgb="FF1565C0"/>
      <name val="Noto Sans CJK SC"/>
      <family val="0"/>
      <charset val="1"/>
    </font>
    <font>
      <sz val="10"/>
      <color rgb="FF233653"/>
      <name val="Noto Sans CJK SC"/>
      <family val="0"/>
      <charset val="1"/>
    </font>
    <font>
      <sz val="10"/>
      <color rgb="FF187545"/>
      <name val="Noto Sans CJK SC"/>
      <family val="0"/>
      <charset val="1"/>
    </font>
    <font>
      <sz val="10"/>
      <color rgb="FF1565C0"/>
      <name val="Noto Sans CJK SC"/>
      <family val="0"/>
      <charset val="1"/>
    </font>
    <font>
      <b val="true"/>
      <sz val="10"/>
      <color rgb="FF233653"/>
      <name val="Noto Sans CJK SC"/>
      <family val="0"/>
      <charset val="1"/>
    </font>
    <font>
      <sz val="10"/>
      <color rgb="FF233653"/>
      <name val="Noto Sans CJK SC"/>
      <family val="2"/>
      <charset val="1"/>
    </font>
    <font>
      <b val="true"/>
      <sz val="18"/>
      <color rgb="FF233653"/>
      <name val="Noto Sans CJK SC"/>
      <family val="2"/>
      <charset val="1"/>
    </font>
    <font>
      <b val="true"/>
      <sz val="10"/>
      <color rgb="FF233653"/>
      <name val="Noto Sans CJK SC"/>
      <family val="2"/>
      <charset val="1"/>
    </font>
    <font>
      <b val="true"/>
      <sz val="10"/>
      <color rgb="FFFFFFFF"/>
      <name val="Noto Sans CJK SC"/>
      <family val="2"/>
      <charset val="1"/>
    </font>
    <font>
      <sz val="10"/>
      <color rgb="FF187545"/>
      <name val="Noto Sans CJK SC"/>
      <family val="2"/>
      <charset val="1"/>
    </font>
    <font>
      <sz val="10"/>
      <color rgb="FF1565C0"/>
      <name val="Noto Sans CJK SC"/>
      <family val="2"/>
      <charset val="1"/>
    </font>
  </fonts>
  <fills count="7">
    <fill>
      <patternFill patternType="none"/>
    </fill>
    <fill>
      <patternFill patternType="gray125"/>
    </fill>
    <fill>
      <patternFill patternType="solid">
        <fgColor rgb="FFFFF1CC"/>
        <bgColor rgb="FFE8EEF7"/>
      </patternFill>
    </fill>
    <fill>
      <patternFill patternType="solid">
        <fgColor rgb="FF263858"/>
        <bgColor rgb="FF233653"/>
      </patternFill>
    </fill>
    <fill>
      <patternFill patternType="solid">
        <fgColor rgb="FF233653"/>
        <bgColor rgb="FF263858"/>
      </patternFill>
    </fill>
    <fill>
      <patternFill patternType="solid">
        <fgColor rgb="FFE8F2FF"/>
        <bgColor rgb="FFE8EEF7"/>
      </patternFill>
    </fill>
    <fill>
      <patternFill patternType="solid">
        <fgColor rgb="FFE8EEF7"/>
        <bgColor rgb="FFE8F2FF"/>
      </patternFill>
    </fill>
  </fills>
  <borders count="5">
    <border diagonalUp="false" diagonalDown="false">
      <left/>
      <right/>
      <top/>
      <bottom/>
      <diagonal/>
    </border>
    <border diagonalUp="false" diagonalDown="false">
      <left/>
      <right/>
      <top/>
      <bottom style="thin">
        <color rgb="FFAEBAD0"/>
      </bottom>
      <diagonal/>
    </border>
    <border diagonalUp="false" diagonalDown="false">
      <left style="thin">
        <color rgb="FFFFFFFF"/>
      </left>
      <right style="thin">
        <color rgb="FFFFFFFF"/>
      </right>
      <top/>
      <bottom/>
      <diagonal/>
    </border>
    <border diagonalUp="false" diagonalDown="false">
      <left style="thin">
        <color rgb="FFFFFFFF"/>
      </left>
      <right/>
      <top/>
      <bottom/>
      <diagonal/>
    </border>
    <border diagonalUp="false" diagonalDown="false">
      <left/>
      <right style="thin">
        <color rgb="FFFFFFFF"/>
      </right>
      <top/>
      <bottom/>
      <diagonal/>
    </border>
  </borders>
  <cellStyleXfs count="45">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xf numFmtId="165"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6" fontId="4" fillId="0" borderId="0" applyFont="true" applyBorder="false" applyAlignment="false" applyProtection="false"/>
    <xf numFmtId="167"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8" fontId="4" fillId="0" borderId="0" applyFont="true" applyBorder="false" applyAlignment="false" applyProtection="false"/>
    <xf numFmtId="169"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0" fontId="4" fillId="0" borderId="0" applyFont="true" applyBorder="false" applyAlignment="false" applyProtection="false"/>
    <xf numFmtId="171"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72" fontId="4" fillId="0" borderId="0" applyFont="true" applyBorder="false" applyAlignment="false" applyProtection="false"/>
    <xf numFmtId="164" fontId="5" fillId="0" borderId="0" applyFont="true" applyBorder="true" applyAlignment="true" applyProtection="true">
      <alignment horizontal="general" vertical="bottom" textRotation="0" wrapText="false" indent="0" shrinkToFit="false"/>
      <protection locked="true" hidden="false"/>
    </xf>
    <xf numFmtId="164" fontId="6"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64" fontId="5" fillId="0" borderId="0" applyFont="true" applyBorder="true" applyAlignment="true" applyProtection="true">
      <alignment horizontal="general" vertical="bottom" textRotation="0" wrapText="false" indent="0" shrinkToFit="false"/>
      <protection locked="true" hidden="false"/>
    </xf>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xf numFmtId="173" fontId="4" fillId="0" borderId="0" applyFont="true" applyBorder="false" applyAlignment="false" applyProtection="false"/>
  </cellStyleXfs>
  <cellXfs count="44">
    <xf numFmtId="164" fontId="0" fillId="0" borderId="0" xfId="0" applyFont="false" applyBorder="false" applyAlignment="false" applyProtection="false">
      <alignment horizontal="general" vertical="bottom" textRotation="0" wrapText="false" indent="0" shrinkToFit="false"/>
      <protection locked="true" hidden="false"/>
    </xf>
    <xf numFmtId="164" fontId="7" fillId="0" borderId="0" xfId="37" applyFont="true" applyBorder="true" applyAlignment="true" applyProtection="true">
      <alignment horizontal="left" vertical="center" textRotation="0" wrapText="false" indent="0" shrinkToFit="false"/>
      <protection locked="true" hidden="false"/>
    </xf>
    <xf numFmtId="164" fontId="8" fillId="0" borderId="1" xfId="37" applyFont="true" applyBorder="true" applyAlignment="true" applyProtection="true">
      <alignment horizontal="left" vertical="center" textRotation="0" wrapText="false" indent="0" shrinkToFit="false"/>
      <protection locked="true" hidden="false"/>
    </xf>
    <xf numFmtId="164" fontId="7" fillId="0" borderId="1" xfId="37" applyFont="true" applyBorder="true" applyAlignment="true" applyProtection="true">
      <alignment horizontal="left" vertical="center" textRotation="0" wrapText="false" indent="0" shrinkToFit="false"/>
      <protection locked="true" hidden="false"/>
    </xf>
    <xf numFmtId="164" fontId="9" fillId="0" borderId="0" xfId="37" applyFont="true" applyBorder="true" applyAlignment="true" applyProtection="true">
      <alignment horizontal="left" vertical="center" textRotation="0" wrapText="false" indent="0" shrinkToFit="false"/>
      <protection locked="true" hidden="false"/>
    </xf>
    <xf numFmtId="174" fontId="7" fillId="2" borderId="0" xfId="37" applyFont="true" applyBorder="true" applyAlignment="true" applyProtection="true">
      <alignment horizontal="left" vertical="center" textRotation="0" wrapText="false" indent="0" shrinkToFit="false"/>
      <protection locked="true" hidden="false"/>
    </xf>
    <xf numFmtId="164" fontId="10" fillId="3" borderId="2" xfId="37" applyFont="true" applyBorder="true" applyAlignment="true" applyProtection="true">
      <alignment horizontal="center" vertical="center" textRotation="0" wrapText="true" indent="0" shrinkToFit="false"/>
      <protection locked="true" hidden="false"/>
    </xf>
    <xf numFmtId="164" fontId="10" fillId="3" borderId="3" xfId="37" applyFont="true" applyBorder="true" applyAlignment="true" applyProtection="true">
      <alignment horizontal="center" vertical="center" textRotation="0" wrapText="true" indent="0" shrinkToFit="false"/>
      <protection locked="true" hidden="false"/>
    </xf>
    <xf numFmtId="164" fontId="7" fillId="0" borderId="0" xfId="37" applyFont="true" applyBorder="true" applyAlignment="true" applyProtection="true">
      <alignment horizontal="left" vertical="center" textRotation="0" wrapText="true" indent="0" shrinkToFit="false"/>
      <protection locked="true" hidden="false"/>
    </xf>
    <xf numFmtId="174" fontId="7" fillId="0" borderId="0" xfId="37" applyFont="true" applyBorder="true" applyAlignment="true" applyProtection="true">
      <alignment horizontal="right" vertical="center" textRotation="0" wrapText="false" indent="0" shrinkToFit="false"/>
      <protection locked="true" hidden="false"/>
    </xf>
    <xf numFmtId="164" fontId="11" fillId="0" borderId="0" xfId="37" applyFont="true" applyBorder="true" applyAlignment="true" applyProtection="true">
      <alignment horizontal="left" vertical="center" textRotation="0" wrapText="false" indent="0" shrinkToFit="false"/>
      <protection locked="true" hidden="false"/>
    </xf>
    <xf numFmtId="164" fontId="7" fillId="0" borderId="0" xfId="37" applyFont="true" applyBorder="true" applyAlignment="true" applyProtection="true">
      <alignment horizontal="right" vertical="center" textRotation="0" wrapText="false" indent="0" shrinkToFit="false"/>
      <protection locked="true" hidden="false"/>
    </xf>
    <xf numFmtId="164" fontId="10" fillId="3" borderId="4" xfId="37" applyFont="true" applyBorder="true" applyAlignment="true" applyProtection="true">
      <alignment horizontal="center" vertical="center" textRotation="0" wrapText="true" indent="0" shrinkToFit="false"/>
      <protection locked="true" hidden="false"/>
    </xf>
    <xf numFmtId="164" fontId="12" fillId="0" borderId="1" xfId="37" applyFont="true" applyBorder="true" applyAlignment="true" applyProtection="true">
      <alignment horizontal="left" vertical="center" textRotation="0" wrapText="false" indent="0" shrinkToFit="false"/>
      <protection locked="true" hidden="false"/>
    </xf>
    <xf numFmtId="164" fontId="10" fillId="4" borderId="2" xfId="37" applyFont="true" applyBorder="true" applyAlignment="true" applyProtection="true">
      <alignment horizontal="center" vertical="center" textRotation="0" wrapText="true" indent="0" shrinkToFit="false"/>
      <protection locked="true" hidden="false"/>
    </xf>
    <xf numFmtId="164" fontId="10" fillId="4" borderId="3" xfId="37" applyFont="true" applyBorder="true" applyAlignment="true" applyProtection="true">
      <alignment horizontal="center" vertical="center" textRotation="0" wrapText="true" indent="0" shrinkToFit="false"/>
      <protection locked="true" hidden="false"/>
    </xf>
    <xf numFmtId="164" fontId="10" fillId="4" borderId="0" xfId="37" applyFont="true" applyBorder="true" applyAlignment="true" applyProtection="true">
      <alignment horizontal="general" vertical="bottom" textRotation="0" wrapText="true" indent="0" shrinkToFit="false"/>
      <protection locked="true" hidden="false"/>
    </xf>
    <xf numFmtId="164" fontId="13" fillId="0" borderId="0" xfId="37" applyFont="true" applyBorder="true" applyAlignment="true" applyProtection="true">
      <alignment horizontal="left" vertical="center" textRotation="0" wrapText="false" indent="0" shrinkToFit="false"/>
      <protection locked="true" hidden="false"/>
    </xf>
    <xf numFmtId="175" fontId="6" fillId="0" borderId="0" xfId="37" applyFont="true" applyBorder="true" applyAlignment="true" applyProtection="true">
      <alignment horizontal="general" vertical="bottom" textRotation="0" wrapText="false" indent="0" shrinkToFit="false"/>
      <protection locked="true" hidden="false"/>
    </xf>
    <xf numFmtId="176" fontId="7" fillId="0" borderId="0" xfId="37" applyFont="true" applyBorder="true" applyAlignment="true" applyProtection="true">
      <alignment horizontal="left" vertical="center" textRotation="0" wrapText="false" indent="0" shrinkToFit="false"/>
      <protection locked="true" hidden="false"/>
    </xf>
    <xf numFmtId="177" fontId="7" fillId="0" borderId="0" xfId="37" applyFont="true" applyBorder="true" applyAlignment="true" applyProtection="true">
      <alignment horizontal="right" vertical="center" textRotation="0" wrapText="false" indent="0" shrinkToFit="false"/>
      <protection locked="true" hidden="false"/>
    </xf>
    <xf numFmtId="164" fontId="14" fillId="0" borderId="0" xfId="37" applyFont="true" applyBorder="true" applyAlignment="true" applyProtection="true">
      <alignment horizontal="general" vertical="center" textRotation="0" wrapText="true" indent="0" shrinkToFit="false"/>
      <protection locked="true" hidden="false"/>
    </xf>
    <xf numFmtId="164" fontId="12" fillId="0" borderId="0" xfId="37" applyFont="true" applyBorder="true" applyAlignment="true" applyProtection="true">
      <alignment horizontal="general" vertical="center" textRotation="0" wrapText="true" indent="0" shrinkToFit="false"/>
      <protection locked="true" hidden="false"/>
    </xf>
    <xf numFmtId="164" fontId="10" fillId="4" borderId="0" xfId="37" applyFont="true" applyBorder="true" applyAlignment="true" applyProtection="true">
      <alignment horizontal="general" vertical="center" textRotation="0" wrapText="true" indent="0" shrinkToFit="false"/>
      <protection locked="true" hidden="false"/>
    </xf>
    <xf numFmtId="164" fontId="13" fillId="0" borderId="0" xfId="37" applyFont="true" applyBorder="true" applyAlignment="true" applyProtection="true">
      <alignment horizontal="general" vertical="center" textRotation="0" wrapText="true" indent="0" shrinkToFit="false"/>
      <protection locked="true" hidden="false"/>
    </xf>
    <xf numFmtId="175" fontId="14" fillId="0" borderId="0" xfId="37" applyFont="true" applyBorder="true" applyAlignment="true" applyProtection="true">
      <alignment horizontal="general" vertical="center" textRotation="0" wrapText="true" indent="0" shrinkToFit="false"/>
      <protection locked="true" hidden="false"/>
    </xf>
    <xf numFmtId="164" fontId="15" fillId="0" borderId="0" xfId="37" applyFont="true" applyBorder="true" applyAlignment="true" applyProtection="true">
      <alignment horizontal="general" vertical="center" textRotation="0" wrapText="true" indent="0" shrinkToFit="false"/>
      <protection locked="true" hidden="false"/>
    </xf>
    <xf numFmtId="164" fontId="16" fillId="5" borderId="0" xfId="37" applyFont="true" applyBorder="true" applyAlignment="true" applyProtection="true">
      <alignment horizontal="general" vertical="center" textRotation="0" wrapText="true" indent="0" shrinkToFit="false"/>
      <protection locked="true" hidden="false"/>
    </xf>
    <xf numFmtId="175" fontId="10" fillId="4" borderId="0" xfId="37" applyFont="true" applyBorder="true" applyAlignment="true" applyProtection="true">
      <alignment horizontal="general" vertical="center" textRotation="0" wrapText="true" indent="0" shrinkToFit="false"/>
      <protection locked="true" hidden="false"/>
    </xf>
    <xf numFmtId="164" fontId="17" fillId="6" borderId="0" xfId="37" applyFont="true" applyBorder="true" applyAlignment="true" applyProtection="true">
      <alignment horizontal="general" vertical="center" textRotation="0" wrapText="true" indent="0" shrinkToFit="false"/>
      <protection locked="true" hidden="false"/>
    </xf>
    <xf numFmtId="175" fontId="17" fillId="6" borderId="0" xfId="37" applyFont="true" applyBorder="true" applyAlignment="true" applyProtection="true">
      <alignment horizontal="general" vertical="center" textRotation="0" wrapText="true" indent="0" shrinkToFit="false"/>
      <protection locked="true" hidden="false"/>
    </xf>
    <xf numFmtId="175" fontId="16" fillId="0" borderId="0" xfId="37" applyFont="true" applyBorder="true" applyAlignment="true" applyProtection="true">
      <alignment horizontal="general" vertical="center" textRotation="0" wrapText="true" indent="0" shrinkToFit="false"/>
      <protection locked="true" hidden="false"/>
    </xf>
    <xf numFmtId="178" fontId="14" fillId="0" borderId="0" xfId="37" applyFont="true" applyBorder="true" applyAlignment="true" applyProtection="true">
      <alignment horizontal="general" vertical="center" textRotation="0" wrapText="true" indent="0" shrinkToFit="false"/>
      <protection locked="true" hidden="false"/>
    </xf>
    <xf numFmtId="164" fontId="18" fillId="0" borderId="0" xfId="38" applyFont="true" applyBorder="true" applyAlignment="true" applyProtection="true">
      <alignment horizontal="general" vertical="center" textRotation="0" wrapText="true" indent="0" shrinkToFit="false"/>
      <protection locked="true" hidden="false"/>
    </xf>
    <xf numFmtId="164" fontId="19" fillId="0" borderId="0" xfId="38" applyFont="true" applyBorder="true" applyAlignment="true" applyProtection="true">
      <alignment horizontal="general" vertical="center" textRotation="0" wrapText="true" indent="0" shrinkToFit="false"/>
      <protection locked="true" hidden="false"/>
    </xf>
    <xf numFmtId="164" fontId="20" fillId="6" borderId="0" xfId="38" applyFont="true" applyBorder="true" applyAlignment="true" applyProtection="true">
      <alignment horizontal="general" vertical="center" textRotation="0" wrapText="true" indent="0" shrinkToFit="false"/>
      <protection locked="true" hidden="false"/>
    </xf>
    <xf numFmtId="175" fontId="20" fillId="6" borderId="0" xfId="38" applyFont="true" applyBorder="true" applyAlignment="true" applyProtection="true">
      <alignment horizontal="general" vertical="center" textRotation="0" wrapText="true" indent="0" shrinkToFit="false"/>
      <protection locked="true" hidden="false"/>
    </xf>
    <xf numFmtId="164" fontId="21" fillId="4" borderId="0" xfId="38" applyFont="true" applyBorder="true" applyAlignment="true" applyProtection="true">
      <alignment horizontal="general" vertical="center" textRotation="0" wrapText="true" indent="0" shrinkToFit="false"/>
      <protection locked="true" hidden="false"/>
    </xf>
    <xf numFmtId="164" fontId="22" fillId="0" borderId="0" xfId="38" applyFont="true" applyBorder="true" applyAlignment="true" applyProtection="true">
      <alignment horizontal="general" vertical="center" textRotation="0" wrapText="true" indent="0" shrinkToFit="false"/>
      <protection locked="true" hidden="false"/>
    </xf>
    <xf numFmtId="179" fontId="22" fillId="0" borderId="0" xfId="36" applyFont="true" applyBorder="true" applyAlignment="true" applyProtection="false">
      <alignment horizontal="general" vertical="center" textRotation="0" wrapText="true" indent="0" shrinkToFit="false"/>
      <protection locked="true" hidden="false"/>
    </xf>
    <xf numFmtId="179" fontId="18" fillId="0" borderId="0" xfId="36" applyFont="true" applyBorder="true" applyAlignment="true" applyProtection="false">
      <alignment horizontal="general" vertical="center" textRotation="0" wrapText="true" indent="0" shrinkToFit="false"/>
      <protection locked="true" hidden="false"/>
    </xf>
    <xf numFmtId="164" fontId="23" fillId="0" borderId="0" xfId="38" applyFont="true" applyBorder="true" applyAlignment="true" applyProtection="true">
      <alignment horizontal="general" vertical="center" textRotation="0" wrapText="true" indent="0" shrinkToFit="false"/>
      <protection locked="true" hidden="false"/>
    </xf>
    <xf numFmtId="164" fontId="23" fillId="5" borderId="0" xfId="38" applyFont="true" applyBorder="true" applyAlignment="true" applyProtection="true">
      <alignment horizontal="general" vertical="center" textRotation="0" wrapText="true" indent="0" shrinkToFit="false"/>
      <protection locked="true" hidden="false"/>
    </xf>
    <xf numFmtId="180" fontId="22" fillId="0" borderId="0" xfId="36" applyFont="true" applyBorder="true" applyAlignment="true" applyProtection="false">
      <alignment horizontal="general" vertical="center" textRotation="0" wrapText="true" indent="0" shrinkToFit="false"/>
      <protection locked="true" hidden="false"/>
    </xf>
  </cellXfs>
  <cellStyles count="31">
    <cellStyle name="Normal" xfId="0" builtinId="0"/>
    <cellStyle name="Comma" xfId="15" builtinId="3"/>
    <cellStyle name="Comma [0]" xfId="16" builtinId="6"/>
    <cellStyle name="Currency" xfId="17" builtinId="4"/>
    <cellStyle name="Currency [0]" xfId="18" builtinId="7"/>
    <cellStyle name="Percent" xfId="19" builtinId="5"/>
    <cellStyle name="Comma" xfId="20"/>
    <cellStyle name="Comma 1" xfId="21"/>
    <cellStyle name="Comma 2" xfId="22"/>
    <cellStyle name="Comma 3" xfId="23"/>
    <cellStyle name="Comma [0]" xfId="24"/>
    <cellStyle name="Comma [0] 2" xfId="25"/>
    <cellStyle name="Comma [0] 3" xfId="26"/>
    <cellStyle name="Comma [0] 4" xfId="27"/>
    <cellStyle name="Currency" xfId="28"/>
    <cellStyle name="Currency 3" xfId="29"/>
    <cellStyle name="Currency 4" xfId="30"/>
    <cellStyle name="Currency 5" xfId="31"/>
    <cellStyle name="Currency [0]" xfId="32"/>
    <cellStyle name="Currency [0] 4" xfId="33"/>
    <cellStyle name="Currency [0] 5" xfId="34"/>
    <cellStyle name="Currency [0] 6" xfId="35"/>
    <cellStyle name="Normal" xfId="36"/>
    <cellStyle name="Normal 1" xfId="37"/>
    <cellStyle name="Normal 5" xfId="38"/>
    <cellStyle name="Normal 6" xfId="39"/>
    <cellStyle name="Normal 7" xfId="40"/>
    <cellStyle name="Percent" xfId="41"/>
    <cellStyle name="Percent 6" xfId="42"/>
    <cellStyle name="Percent 7" xfId="43"/>
    <cellStyle name="Percent 8" xfId="44"/>
  </cellStyles>
  <dxfs count="16">
    <dxf>
      <fill>
        <patternFill patternType="solid">
          <fgColor rgb="FF263858"/>
          <bgColor rgb="FF000000"/>
        </patternFill>
      </fill>
    </dxf>
    <dxf>
      <fill>
        <patternFill patternType="solid">
          <bgColor rgb="FF000000"/>
        </patternFill>
      </fill>
    </dxf>
    <dxf>
      <fill>
        <patternFill patternType="solid">
          <fgColor rgb="FF203047"/>
          <bgColor rgb="FF000000"/>
        </patternFill>
      </fill>
    </dxf>
    <dxf>
      <fill>
        <patternFill patternType="solid">
          <fgColor rgb="FFFFFFFF"/>
          <bgColor rgb="FF000000"/>
        </patternFill>
      </fill>
    </dxf>
    <dxf>
      <fill>
        <patternFill patternType="solid">
          <fgColor rgb="FF145CAE"/>
          <bgColor rgb="FF000000"/>
        </patternFill>
      </fill>
    </dxf>
    <dxf>
      <fill>
        <patternFill patternType="solid">
          <fgColor rgb="FF233653"/>
          <bgColor rgb="FF000000"/>
        </patternFill>
      </fill>
    </dxf>
    <dxf>
      <fill>
        <patternFill patternType="solid">
          <fgColor rgb="FF1565C0"/>
          <bgColor rgb="FF000000"/>
        </patternFill>
      </fill>
    </dxf>
    <dxf>
      <fill>
        <patternFill patternType="solid">
          <fgColor rgb="FF187545"/>
          <bgColor rgb="FF000000"/>
        </patternFill>
      </fill>
    </dxf>
    <dxf>
      <fill>
        <patternFill patternType="solid">
          <fgColor rgb="FFE8F2FF"/>
          <bgColor rgb="FF000000"/>
        </patternFill>
      </fill>
    </dxf>
    <dxf>
      <font>
        <color rgb="FF000000"/>
      </font>
      <border diagonalUp="false" diagonalDown="false">
        <left/>
        <right/>
        <top style="thin">
          <color theme="1"/>
        </top>
        <bottom style="thin">
          <color theme="1"/>
        </bottom>
        <diagonal/>
      </border>
    </dxf>
    <dxf>
      <fill>
        <patternFill>
          <bgColor theme="0" tint="-0.15"/>
        </patternFill>
      </fill>
    </dxf>
    <dxf>
      <fill>
        <patternFill>
          <bgColor theme="0" tint="-0.15"/>
        </patternFill>
      </fill>
    </dxf>
    <dxf>
      <font>
        <b val="1"/>
        <color rgb="FF000000"/>
      </font>
    </dxf>
    <dxf>
      <font>
        <b val="1"/>
        <color rgb="FF000000"/>
      </font>
    </dxf>
    <dxf>
      <font>
        <b val="1"/>
        <color rgb="FF000000"/>
      </font>
      <border diagonalUp="false" diagonalDown="false">
        <left/>
        <right/>
        <top/>
        <bottom style="thin">
          <color theme="1"/>
        </bottom>
        <diagonal/>
      </border>
    </dxf>
    <dxf>
      <font>
        <b val="1"/>
        <color rgb="FF000000"/>
      </font>
      <border diagonalUp="false" diagonalDown="false">
        <left/>
        <right/>
        <top style="thin">
          <color theme="1"/>
        </top>
        <bottom/>
        <diagonal/>
      </border>
    </dxf>
  </dxfs>
  <tableStyles count="1">
    <tableStyle count="7" name="TableStyleLight1">
      <tableStyleElement dxfId="9" type="wholeTable"/>
      <tableStyleElement dxfId="10" type="firstColumnStripe"/>
      <tableStyleElement dxfId="11" type="firstRowStripe"/>
      <tableStyleElement dxfId="12" type="lastColumn"/>
      <tableStyleElement dxfId="13" type="firstColumn"/>
      <tableStyleElement dxfId="14" type="headerRow"/>
      <tableStyleElement dxfId="15" type="totalRow"/>
    </tableStyle>
  </table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187545"/>
      <rgbColor rgb="FFAEBAD0"/>
      <rgbColor rgb="FF5C7393"/>
      <rgbColor rgb="FF9999FF"/>
      <rgbColor rgb="FF993366"/>
      <rgbColor rgb="FFFFF1CC"/>
      <rgbColor rgb="FFE8F2FF"/>
      <rgbColor rgb="FF660066"/>
      <rgbColor rgb="FFFF8080"/>
      <rgbColor rgb="FF1565C0"/>
      <rgbColor rgb="FFCCCCFF"/>
      <rgbColor rgb="FF000080"/>
      <rgbColor rgb="FFFF00FF"/>
      <rgbColor rgb="FFFFFF00"/>
      <rgbColor rgb="FF00FFFF"/>
      <rgbColor rgb="FF800080"/>
      <rgbColor rgb="FF800000"/>
      <rgbColor rgb="FF008080"/>
      <rgbColor rgb="FF0000FF"/>
      <rgbColor rgb="FF00CCFF"/>
      <rgbColor rgb="FFE8EEF7"/>
      <rgbColor rgb="FFCCFFCC"/>
      <rgbColor rgb="FFFFFF99"/>
      <rgbColor rgb="FF99CCFF"/>
      <rgbColor rgb="FFFF99CC"/>
      <rgbColor rgb="FFCC99FF"/>
      <rgbColor rgb="FFFFCC99"/>
      <rgbColor rgb="FF145CAE"/>
      <rgbColor rgb="FF33CCCC"/>
      <rgbColor rgb="FF99CC00"/>
      <rgbColor rgb="FFFFCC00"/>
      <rgbColor rgb="FFFF9900"/>
      <rgbColor rgb="FFFF6600"/>
      <rgbColor rgb="FF607086"/>
      <rgbColor rgb="FF969696"/>
      <rgbColor rgb="FF233653"/>
      <rgbColor rgb="FF476183"/>
      <rgbColor rgb="FF003300"/>
      <rgbColor rgb="FF333300"/>
      <rgbColor rgb="FF993300"/>
      <rgbColor rgb="FF993366"/>
      <rgbColor rgb="FF263858"/>
      <rgbColor rgb="FF203047"/>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sharedStrings" Target="sharedStrings.xml"/>
</Relationships>
</file>

<file path=xl/tables/table1.xml><?xml version="1.0" encoding="utf-8"?>
<table xmlns="http://schemas.openxmlformats.org/spreadsheetml/2006/main" id="1" name="BuildTools" displayName="BuildTools" ref="A6:K21" headerRowCount="1" totalsRowCount="0" totalsRowShown="0">
  <autoFilter ref="A6:K21"/>
  <tableColumns count="11">
    <tableColumn id="1" name="类别"/>
    <tableColumn id="2" name="商品 / 用品"/>
    <tableColumn id="3" name="具体规格"/>
    <tableColumn id="4" name="用量或购买条件"/>
    <tableColumn id="5" name="订单店铺"/>
    <tableColumn id="6" name="商品链接"/>
    <tableColumn id="7" name="订单原款式"/>
    <tableColumn id="8" name="每拍含量"/>
    <tableColumn id="9" name="购买说明"/>
    <tableColumn id="10" name="订单源行"/>
    <tableColumn id="11" name="订单商品金额 / 拍(元)"/>
  </tableColumns>
  <tableStyleInfo name="TableStyleLight1" showFirstColumn="0" showLastColumn="0" showRowStripes="1" showColumnStripes="0"/>
</table>
</file>

<file path=xl/tables/table2.xml><?xml version="1.0" encoding="utf-8"?>
<table xmlns="http://schemas.openxmlformats.org/spreadsheetml/2006/main" id="2" name="ComponentCosts" displayName="ComponentCosts" ref="A28:O72" headerRowCount="1" totalsRowCount="0" totalsRowShown="0">
  <autoFilter ref="A28:O72"/>
  <tableColumns count="15">
    <tableColumn id="1" name="型号 / 指定款式"/>
    <tableColumn id="2" name="每拍含量"/>
    <tableColumn id="3" name="订单商品金额/拍"/>
    <tableColumn id="4" name="该订单商品金额合计"/>
    <tableColumn id="5" name="该订单实付金额"/>
    <tableColumn id="6" name="单个实付分摊成本"/>
    <tableColumn id="7" name="HAT单板数量"/>
    <tableColumn id="8" name="IMU单板数量"/>
    <tableColumn id="9" name="本次HAT用料成本"/>
    <tableColumn id="10" name="本次IMU用料成本"/>
    <tableColumn id="11" name="合并整包商品金额"/>
    <tableColumn id="12" name="仅HAT整包商品金额"/>
    <tableColumn id="13" name="仅IMU整包商品金额"/>
    <tableColumn id="14" name="商品链接"/>
    <tableColumn id="15" name="订单源行"/>
  </tableColumns>
  <tableStyleInfo name="TableStyleLight1" showFirstColumn="0" showLastColumn="0" showRowStripes="1" showColumnStripes="0"/>
</table>
</file>

<file path=xl/tables/table3.xml><?xml version="1.0" encoding="utf-8"?>
<table xmlns="http://schemas.openxmlformats.org/spreadsheetml/2006/main" id="3" name="DuckAccessories" displayName="DuckAccessories" ref="A6:K31" headerRowCount="1" totalsRowCount="0" totalsRowShown="0">
  <autoFilter ref="A6:K31"/>
  <tableColumns count="11">
    <tableColumn id="1" name="类别"/>
    <tableColumn id="2" name="商品 / 用品"/>
    <tableColumn id="3" name="具体规格"/>
    <tableColumn id="4" name="用量或购买条件"/>
    <tableColumn id="5" name="订单店铺"/>
    <tableColumn id="6" name="商品链接"/>
    <tableColumn id="7" name="订单原款式"/>
    <tableColumn id="8" name="每拍含量"/>
    <tableColumn id="9" name="购买说明"/>
    <tableColumn id="10" name="订单源行"/>
    <tableColumn id="11" name="订单商品金额 / 拍(元)"/>
  </tableColumns>
  <tableStyleInfo name="TableStyleLight1" showFirstColumn="0" showLastColumn="0" showRowStripes="1" showColumnStripes="0"/>
</table>
</file>

<file path=xl/tables/table4.xml><?xml version="1.0" encoding="utf-8"?>
<table xmlns="http://schemas.openxmlformats.org/spreadsheetml/2006/main" id="4" name="DuckTotalItems" displayName="DuckTotalItems" ref="A10:H35" headerRowCount="1" totalsRowCount="0" totalsRowShown="0">
  <autoFilter ref="A10:H35"/>
  <tableColumns count="8">
    <tableColumn id="1" name="商品 / 模块"/>
    <tableColumn id="2" name="型号 / 指定款式"/>
    <tableColumn id="3" name="计价单位"/>
    <tableColumn id="4" name="参考采购数量"/>
    <tableColumn id="5" name="历史单价(元)"/>
    <tableColumn id="6" name="小计(元)"/>
    <tableColumn id="7" name="数量与费用说明"/>
    <tableColumn id="8" name="商品或BOM链接"/>
  </tableColumns>
  <tableStyleInfo name="TableStyleLight1" showFirstColumn="0" showLastColumn="0" showRowStripes="1" showColumnStripes="0"/>
</table>
</file>

<file path=xl/tables/table5.xml><?xml version="1.0" encoding="utf-8"?>
<table xmlns="http://schemas.openxmlformats.org/spreadsheetml/2006/main" id="5" name="HATComponents" displayName="HATComponents" ref="A7:K91" headerRowCount="1" totalsRowCount="0" totalsRowShown="0">
  <autoFilter ref="A7:K91"/>
  <tableColumns count="11">
    <tableColumn id="1" name="位号"/>
    <tableColumn id="2" name="用途 / 位号原文"/>
    <tableColumn id="3" name="工程完整型号"/>
    <tableColumn id="4" name="工程立创料号"/>
    <tableColumn id="5" name="工程封装"/>
    <tableColumn id="6" name="工程关键参数"/>
    <tableColumn id="7" name="当前采购规格 / 订单款式"/>
    <tableColumn id="8" name="订单商品链接"/>
    <tableColumn id="9" name="工程BOM型号链接"/>
    <tableColumn id="10" name="用料说明"/>
    <tableColumn id="11" name="工程来源"/>
  </tableColumns>
  <tableStyleInfo name="TableStyleLight1" showFirstColumn="0" showLastColumn="0" showRowStripes="1" showColumnStripes="0"/>
</table>
</file>

<file path=xl/tables/table6.xml><?xml version="1.0" encoding="utf-8"?>
<table xmlns="http://schemas.openxmlformats.org/spreadsheetml/2006/main" id="6" name="IMUComponents" displayName="IMUComponents" ref="A7:K32" headerRowCount="1" totalsRowCount="0" totalsRowShown="0">
  <autoFilter ref="A7:K32"/>
  <tableColumns count="11">
    <tableColumn id="1" name="位号"/>
    <tableColumn id="2" name="用途 / 位号原文"/>
    <tableColumn id="3" name="工程完整型号"/>
    <tableColumn id="4" name="工程立创料号"/>
    <tableColumn id="5" name="工程封装"/>
    <tableColumn id="6" name="工程关键参数"/>
    <tableColumn id="7" name="当前采购规格 / 订单款式"/>
    <tableColumn id="8" name="订单商品链接"/>
    <tableColumn id="9" name="工程BOM型号链接"/>
    <tableColumn id="10" name="用料说明"/>
    <tableColumn id="11" name="工程来源"/>
  </tableColumns>
  <tableStyleInfo name="TableStyleLight1" showFirstColumn="0" showLastColumn="0" showRowStripes="1" showColumnStripes="0"/>
</table>
</file>

<file path=xl/tables/table7.xml><?xml version="1.0" encoding="utf-8"?>
<table xmlns="http://schemas.openxmlformats.org/spreadsheetml/2006/main" id="7" name="OrderEvidence" displayName="OrderEvidence" ref="A6:J109" headerRowCount="1" totalsRowCount="0" totalsRowShown="0">
  <autoFilter ref="A6:J109"/>
  <tableColumns count="10">
    <tableColumn id="1" name="订单源行"/>
    <tableColumn id="2" name="提交日期"/>
    <tableColumn id="3" name="订单状态"/>
    <tableColumn id="4" name="店铺"/>
    <tableColumn id="5" name="商品名称（原文）"/>
    <tableColumn id="6" name="型号款式（原文）"/>
    <tableColumn id="7" name="商品数量(原值)"/>
    <tableColumn id="8" name="商品金额(元，原字段)"/>
    <tableColumn id="9" name="商品链接"/>
    <tableColumn id="10" name="对应采购项 / 历史用途"/>
  </tableColumns>
  <tableStyleInfo name="TableStyleLight1" showFirstColumn="0" showLastColumn="0" showRowStripes="1" showColumnStripes="0"/>
</table>
</file>

<file path=xl/tables/table8.xml><?xml version="1.0" encoding="utf-8"?>
<table xmlns="http://schemas.openxmlformats.org/spreadsheetml/2006/main" id="8" name="Procurement" displayName="Procurement" ref="A8:O54" headerRowCount="1" totalsRowCount="0" totalsRowShown="0">
  <autoFilter ref="A8:O54"/>
  <tableColumns count="15">
    <tableColumn id="1" name="类别"/>
    <tableColumn id="2" name="工程型号 / 当前用料"/>
    <tableColumn id="3" name="封装与关键规格"/>
    <tableColumn id="4" name="HAT单板(个)"/>
    <tableColumn id="5" name="IMU单板(个)"/>
    <tableColumn id="6" name="本次需求(个)"/>
    <tableColumn id="7" name="HAT位号"/>
    <tableColumn id="8" name="IMU位号"/>
    <tableColumn id="9" name="订单店铺"/>
    <tableColumn id="10" name="订单商品链接"/>
    <tableColumn id="11" name="必须选择的订单款式"/>
    <tableColumn id="12" name="每拍含量(个)"/>
    <tableColumn id="13" name="按此款式最少拍数"/>
    <tableColumn id="14" name="工程型号参考链接"/>
    <tableColumn id="15" name="购买说明"/>
  </tableColumns>
  <tableStyleInfo name="TableStyleLight1" showFirstColumn="0" showLastColumn="0" showRowStripes="1" showColumnStripes="0"/>
</table>
</file>

<file path=xl/theme/theme1.xml><?xml version="1.0" encoding="utf-8"?>
<a:theme xmlns:a="http://schemas.openxmlformats.org/drawingml/2006/main" xmlns:r="http://schemas.openxmlformats.org/officeDocument/2006/relationships" name="ChatGPT">
  <a:themeElements>
    <a:clrScheme name="ChatGPT">
      <a:dk1>
        <a:srgbClr val="000000"/>
      </a:dk1>
      <a:lt1>
        <a:srgbClr val="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pitchFamily="0" charset="1"/>
        <a:ea typeface="Calibri Light" pitchFamily="0" charset="1"/>
        <a:cs typeface="Calibri Light" pitchFamily="0" charset="1"/>
      </a:majorFont>
      <a:minorFont>
        <a:latin typeface="Calibri" pitchFamily="0" charset="1"/>
        <a:ea typeface="Calibri" pitchFamily="0" charset="1"/>
        <a:cs typeface="Calibri" pitchFamily="0" charset="1"/>
      </a:minorFont>
    </a:fontScheme>
    <a:fmtScheme>
      <a:fillStyleLst>
        <a:solidFill>
          <a:schemeClr val="phClr"/>
        </a:solidFill>
        <a:gradFill>
          <a:gsLst>
            <a:gs pos="0">
              <a:schemeClr val="phClr">
                <a:tint val="67000"/>
                <a:lumMod val="110000"/>
              </a:schemeClr>
            </a:gs>
            <a:gs pos="50000">
              <a:schemeClr val="phClr">
                <a:tint val="73000"/>
                <a:lumMod val="105000"/>
              </a:schemeClr>
            </a:gs>
            <a:gs pos="100000">
              <a:schemeClr val="phClr">
                <a:tint val="81000"/>
                <a:lumMod val="105000"/>
              </a:schemeClr>
            </a:gs>
          </a:gsLst>
          <a:lin ang="5400000" scaled="0"/>
          <a:tileRect l="0" t="0" r="0" b="0"/>
        </a:gradFill>
        <a:gradFill>
          <a:gsLst>
            <a:gs pos="0">
              <a:schemeClr val="phClr">
                <a:tint val="94000"/>
                <a:lumMod val="102000"/>
              </a:schemeClr>
            </a:gs>
            <a:gs pos="50000">
              <a:schemeClr val="phClr">
                <a:shade val="100000"/>
                <a:lumMod val="100000"/>
              </a:schemeClr>
            </a:gs>
            <a:gs pos="100000">
              <a:schemeClr val="phClr">
                <a:shade val="78000"/>
                <a:lumMod val="99000"/>
              </a:schemeClr>
            </a:gs>
          </a:gsLst>
          <a:lin ang="5400000" scaled="0"/>
          <a:tileRect l="0" t="0" r="0" b="0"/>
        </a:gradFill>
      </a:fillStyleLst>
      <a:lnStyleLst>
        <a:ln w="12700">
          <a:prstDash val="solid"/>
        </a:ln>
        <a:ln w="19050">
          <a:prstDash val="solid"/>
        </a:ln>
        <a:ln w="25400">
          <a:prstDash val="solid"/>
        </a:ln>
      </a:lnStyleLst>
      <a:effectStyleLst>
        <a:effectStyle>
          <a:effectLst/>
        </a:effectStyle>
        <a:effectStyle>
          <a:effectLst/>
        </a:effectStyle>
        <a:effectStyle>
          <a:effectLst/>
        </a:effectStyle>
      </a:effectStyleLst>
      <a:bgFillStyleLst>
        <a:solidFill>
          <a:schemeClr val="phClr"/>
        </a:solidFill>
        <a:solidFill>
          <a:schemeClr val="phClr">
            <a:tint val="95000"/>
          </a:schemeClr>
        </a:solidFill>
        <a:gradFill>
          <a:gsLst>
            <a:gs pos="0">
              <a:schemeClr val="phClr">
                <a:tint val="93000"/>
                <a:shade val="98000"/>
                <a:lumMod val="102000"/>
              </a:schemeClr>
            </a:gs>
            <a:gs pos="50000">
              <a:schemeClr val="phClr">
                <a:tint val="98000"/>
                <a:shade val="90000"/>
                <a:lumMod val="103000"/>
              </a:schemeClr>
            </a:gs>
            <a:gs pos="100000">
              <a:schemeClr val="phClr">
                <a:shade val="63000"/>
              </a:schemeClr>
            </a:gs>
          </a:gsLst>
          <a:lin ang="5400000" scaled="0"/>
          <a:tileRect l="0" t="0" r="0" b="0"/>
        </a:gradFill>
      </a:bgFillStyleLst>
    </a:fmtScheme>
  </a:themeElements>
</a:theme>
</file>

<file path=xl/worksheets/_rels/sheet1.xml.rels><?xml version="1.0" encoding="UTF-8"?>
<Relationships xmlns="http://schemas.openxmlformats.org/package/2006/relationships"><Relationship Id="rId1" Type="http://schemas.openxmlformats.org/officeDocument/2006/relationships/table" Target="../tables/table8.xml"/>
</Relationships>
</file>

<file path=xl/worksheets/_rels/sheet2.xml.rels><?xml version="1.0" encoding="UTF-8"?>
<Relationships xmlns="http://schemas.openxmlformats.org/package/2006/relationships"><Relationship Id="rId1" Type="http://schemas.openxmlformats.org/officeDocument/2006/relationships/table" Target="../tables/table5.xml"/>
</Relationships>
</file>

<file path=xl/worksheets/_rels/sheet3.xml.rels><?xml version="1.0" encoding="UTF-8"?>
<Relationships xmlns="http://schemas.openxmlformats.org/package/2006/relationships"><Relationship Id="rId1" Type="http://schemas.openxmlformats.org/officeDocument/2006/relationships/table" Target="../tables/table6.xml"/>
</Relationships>
</file>

<file path=xl/worksheets/_rels/sheet4.xml.rels><?xml version="1.0" encoding="UTF-8"?>
<Relationships xmlns="http://schemas.openxmlformats.org/package/2006/relationships"><Relationship Id="rId1" Type="http://schemas.openxmlformats.org/officeDocument/2006/relationships/table" Target="../tables/table3.xml"/>
</Relationships>
</file>

<file path=xl/worksheets/_rels/sheet5.xml.rels><?xml version="1.0" encoding="UTF-8"?>
<Relationships xmlns="http://schemas.openxmlformats.org/package/2006/relationships"><Relationship Id="rId1" Type="http://schemas.openxmlformats.org/officeDocument/2006/relationships/table" Target="../tables/table7.xml"/>
</Relationships>
</file>

<file path=xl/worksheets/_rels/sheet6.xml.rels><?xml version="1.0" encoding="UTF-8"?>
<Relationships xmlns="http://schemas.openxmlformats.org/package/2006/relationships"><Relationship Id="rId1" Type="http://schemas.openxmlformats.org/officeDocument/2006/relationships/table" Target="../tables/table1.xml"/>
</Relationships>
</file>

<file path=xl/worksheets/_rels/sheet7.xml.rels><?xml version="1.0" encoding="UTF-8"?>
<Relationships xmlns="http://schemas.openxmlformats.org/package/2006/relationships"><Relationship Id="rId1" Type="http://schemas.openxmlformats.org/officeDocument/2006/relationships/table" Target="../tables/table2.xml"/>
</Relationships>
</file>

<file path=xl/worksheets/_rels/sheet8.xml.rels><?xml version="1.0" encoding="UTF-8"?>
<Relationships xmlns="http://schemas.openxmlformats.org/package/2006/relationships"><Relationship Id="rId1" Type="http://schemas.openxmlformats.org/officeDocument/2006/relationships/table" Target="../tables/table4.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63858"/>
    <pageSetUpPr fitToPage="false"/>
  </sheetPr>
  <dimension ref="A1:O54"/>
  <sheetViews>
    <sheetView showFormulas="false" showGridLines="false" showRowColHeaders="true" showZeros="true" rightToLeft="false" tabSelected="true" showOutlineSymbols="true" defaultGridColor="true" view="normal" topLeftCell="A1" colorId="64" zoomScale="100" zoomScaleNormal="100" zoomScalePageLayoutView="100" workbookViewId="0">
      <pane xSplit="2" ySplit="8" topLeftCell="C9" activePane="bottomRight" state="frozen"/>
      <selection pane="topLeft" activeCell="A1" activeCellId="0" sqref="A1"/>
      <selection pane="topRight" activeCell="C1" activeCellId="0" sqref="C1"/>
      <selection pane="bottomLeft" activeCell="A9" activeCellId="0" sqref="A9"/>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1"/>
    <col collapsed="false" customWidth="true" hidden="false" outlineLevel="0" max="2" min="2" style="0" width="36"/>
    <col collapsed="false" customWidth="true" hidden="false" outlineLevel="0" max="3" min="3" style="0" width="43"/>
    <col collapsed="false" customWidth="true" hidden="false" outlineLevel="0" max="6" min="4" style="0" width="12"/>
    <col collapsed="false" customWidth="true" hidden="false" outlineLevel="0" max="7" min="7" style="0" width="38"/>
    <col collapsed="false" customWidth="true" hidden="false" outlineLevel="0" max="8" min="8" style="0" width="27"/>
    <col collapsed="false" customWidth="true" hidden="false" outlineLevel="0" max="9" min="9" style="0" width="28"/>
    <col collapsed="false" customWidth="true" hidden="false" outlineLevel="0" max="10" min="10" style="0" width="19"/>
    <col collapsed="false" customWidth="true" hidden="false" outlineLevel="0" max="11" min="11" style="0" width="49"/>
    <col collapsed="false" customWidth="true" hidden="false" outlineLevel="0" max="12" min="12" style="0" width="13"/>
    <col collapsed="false" customWidth="true" hidden="false" outlineLevel="0" max="14" min="13" style="0" width="21"/>
    <col collapsed="false" customWidth="true" hidden="false" outlineLevel="0" max="15" min="15" style="0" width="65"/>
    <col collapsed="false" customWidth="true" hidden="false" outlineLevel="0" max="16" min="16" style="0" width="21"/>
    <col collapsed="false" customWidth="true" hidden="false" outlineLevel="0" max="17" min="17" style="0" width="65"/>
  </cols>
  <sheetData>
    <row r="1" customFormat="false" ht="24" hidden="false" customHeight="true" outlineLevel="0" collapsed="false">
      <c r="A1" s="1"/>
      <c r="B1" s="1"/>
      <c r="C1" s="1"/>
      <c r="D1" s="1"/>
      <c r="E1" s="1"/>
      <c r="F1" s="1"/>
      <c r="G1" s="1"/>
      <c r="H1" s="1"/>
      <c r="I1" s="1"/>
      <c r="J1" s="1"/>
      <c r="K1" s="1"/>
      <c r="L1" s="1"/>
      <c r="M1" s="1"/>
      <c r="N1" s="1"/>
      <c r="O1" s="1"/>
    </row>
    <row r="2" customFormat="false" ht="30" hidden="false" customHeight="true" outlineLevel="0" collapsed="false">
      <c r="A2" s="2" t="s">
        <v>0</v>
      </c>
      <c r="B2" s="3"/>
      <c r="C2" s="3"/>
      <c r="D2" s="3"/>
      <c r="E2" s="3"/>
      <c r="F2" s="3"/>
      <c r="G2" s="3"/>
      <c r="H2" s="3"/>
      <c r="I2" s="3"/>
      <c r="J2" s="3"/>
      <c r="K2" s="3"/>
      <c r="L2" s="3"/>
      <c r="M2" s="3"/>
      <c r="N2" s="3"/>
      <c r="O2" s="3"/>
    </row>
    <row r="3" customFormat="false" ht="24" hidden="false" customHeight="true" outlineLevel="0" collapsed="false">
      <c r="A3" s="4" t="s">
        <v>1</v>
      </c>
      <c r="B3" s="1"/>
      <c r="C3" s="1"/>
      <c r="D3" s="1"/>
      <c r="E3" s="1"/>
      <c r="F3" s="1"/>
      <c r="G3" s="1"/>
      <c r="H3" s="1"/>
      <c r="I3" s="1"/>
      <c r="J3" s="1"/>
      <c r="K3" s="1"/>
      <c r="L3" s="1"/>
      <c r="M3" s="1"/>
      <c r="N3" s="1"/>
      <c r="O3" s="1"/>
    </row>
    <row r="4" customFormat="false" ht="24" hidden="false" customHeight="true" outlineLevel="0" collapsed="false">
      <c r="A4" s="1" t="s">
        <v>2</v>
      </c>
      <c r="B4" s="5" t="n">
        <v>1</v>
      </c>
      <c r="C4" s="1" t="s">
        <v>3</v>
      </c>
      <c r="D4" s="5" t="n">
        <v>1</v>
      </c>
      <c r="E4" s="1"/>
      <c r="F4" s="1" t="s">
        <v>4</v>
      </c>
      <c r="G4" s="1"/>
      <c r="H4" s="1" t="n">
        <f aca="false">SUM(F9:F54)</f>
        <v>109</v>
      </c>
      <c r="I4" s="1"/>
      <c r="J4" s="1"/>
      <c r="K4" s="1"/>
      <c r="L4" s="1"/>
      <c r="M4" s="1"/>
      <c r="N4" s="1"/>
      <c r="O4" s="1"/>
    </row>
    <row r="5" customFormat="false" ht="24" hidden="false" customHeight="true" outlineLevel="0" collapsed="false">
      <c r="A5" s="1" t="s">
        <v>5</v>
      </c>
      <c r="B5" s="1"/>
      <c r="C5" s="1"/>
      <c r="D5" s="1"/>
      <c r="E5" s="1"/>
      <c r="F5" s="1"/>
      <c r="G5" s="1"/>
      <c r="H5" s="1"/>
      <c r="I5" s="1"/>
      <c r="J5" s="1"/>
      <c r="K5" s="1"/>
      <c r="L5" s="1"/>
      <c r="M5" s="1"/>
      <c r="N5" s="1"/>
      <c r="O5" s="1"/>
    </row>
    <row r="6" customFormat="false" ht="24" hidden="false" customHeight="true" outlineLevel="0" collapsed="false">
      <c r="A6" s="1" t="s">
        <v>6</v>
      </c>
      <c r="B6" s="1"/>
      <c r="C6" s="1"/>
      <c r="D6" s="1"/>
      <c r="E6" s="1"/>
      <c r="F6" s="1"/>
      <c r="G6" s="1"/>
      <c r="H6" s="1"/>
      <c r="I6" s="1"/>
      <c r="J6" s="1"/>
      <c r="K6" s="1"/>
      <c r="L6" s="1"/>
      <c r="M6" s="1"/>
      <c r="N6" s="1"/>
      <c r="O6" s="1"/>
    </row>
    <row r="7" customFormat="false" ht="24" hidden="false" customHeight="true" outlineLevel="0" collapsed="false">
      <c r="A7" s="1" t="s">
        <v>7</v>
      </c>
      <c r="B7" s="1"/>
      <c r="C7" s="1"/>
      <c r="D7" s="1"/>
      <c r="E7" s="1"/>
      <c r="F7" s="1"/>
      <c r="G7" s="1"/>
      <c r="H7" s="1"/>
      <c r="I7" s="1"/>
      <c r="J7" s="1"/>
      <c r="K7" s="1"/>
      <c r="L7" s="1"/>
      <c r="M7" s="1"/>
      <c r="N7" s="1"/>
      <c r="O7" s="1"/>
    </row>
    <row r="8" customFormat="false" ht="34" hidden="false" customHeight="true" outlineLevel="0" collapsed="false">
      <c r="A8" s="6" t="s">
        <v>8</v>
      </c>
      <c r="B8" s="6" t="s">
        <v>9</v>
      </c>
      <c r="C8" s="6" t="s">
        <v>10</v>
      </c>
      <c r="D8" s="6" t="s">
        <v>11</v>
      </c>
      <c r="E8" s="6" t="s">
        <v>12</v>
      </c>
      <c r="F8" s="6" t="s">
        <v>13</v>
      </c>
      <c r="G8" s="6" t="s">
        <v>14</v>
      </c>
      <c r="H8" s="6" t="s">
        <v>15</v>
      </c>
      <c r="I8" s="6" t="s">
        <v>16</v>
      </c>
      <c r="J8" s="6" t="s">
        <v>17</v>
      </c>
      <c r="K8" s="6" t="s">
        <v>18</v>
      </c>
      <c r="L8" s="6" t="s">
        <v>19</v>
      </c>
      <c r="M8" s="6" t="s">
        <v>20</v>
      </c>
      <c r="N8" s="6" t="s">
        <v>21</v>
      </c>
      <c r="O8" s="7" t="s">
        <v>22</v>
      </c>
    </row>
    <row r="9" customFormat="false" ht="64" hidden="false" customHeight="true" outlineLevel="0" collapsed="false">
      <c r="A9" s="1" t="s">
        <v>23</v>
      </c>
      <c r="B9" s="8" t="s">
        <v>24</v>
      </c>
      <c r="C9" s="8" t="s">
        <v>25</v>
      </c>
      <c r="D9" s="9" t="n">
        <v>15</v>
      </c>
      <c r="E9" s="9" t="n">
        <v>0</v>
      </c>
      <c r="F9" s="9" t="n">
        <f aca="false">D9*$B$4+E9*$D$4</f>
        <v>15</v>
      </c>
      <c r="G9" s="8" t="s">
        <v>26</v>
      </c>
      <c r="H9" s="8"/>
      <c r="I9" s="8" t="s">
        <v>27</v>
      </c>
      <c r="J9" s="10" t="str">
        <f aca="false">HYPERLINK("https://item.taobao.com/item.htm?id=630712731066","打开订单商品")</f>
        <v>打开订单商品</v>
      </c>
      <c r="K9" s="8" t="s">
        <v>28</v>
      </c>
      <c r="L9" s="11" t="n">
        <v>1</v>
      </c>
      <c r="M9" s="11" t="n">
        <f aca="false">ROUNDUP(F9/L9,0)</f>
        <v>15</v>
      </c>
      <c r="N9" s="10" t="str">
        <f aca="false">HYPERLINK("https://www.lcsc.com/product-detail/C128624.html","查看工程型号")</f>
        <v>查看工程型号</v>
      </c>
      <c r="O9" s="8" t="s">
        <v>29</v>
      </c>
    </row>
    <row r="10" customFormat="false" ht="64" hidden="false" customHeight="true" outlineLevel="0" collapsed="false">
      <c r="A10" s="1" t="s">
        <v>23</v>
      </c>
      <c r="B10" s="8" t="s">
        <v>30</v>
      </c>
      <c r="C10" s="8" t="s">
        <v>31</v>
      </c>
      <c r="D10" s="9" t="n">
        <v>5</v>
      </c>
      <c r="E10" s="9" t="n">
        <v>0</v>
      </c>
      <c r="F10" s="9" t="n">
        <f aca="false">D10*$B$4+E10*$D$4</f>
        <v>5</v>
      </c>
      <c r="G10" s="8" t="s">
        <v>32</v>
      </c>
      <c r="H10" s="8"/>
      <c r="I10" s="8" t="s">
        <v>27</v>
      </c>
      <c r="J10" s="10" t="str">
        <f aca="false">HYPERLINK("https://item.taobao.com/item.htm?id=630712731066","打开订单商品")</f>
        <v>打开订单商品</v>
      </c>
      <c r="K10" s="8" t="s">
        <v>33</v>
      </c>
      <c r="L10" s="11" t="n">
        <v>1</v>
      </c>
      <c r="M10" s="11" t="n">
        <f aca="false">ROUNDUP(F10/L10,0)</f>
        <v>5</v>
      </c>
      <c r="N10" s="10" t="str">
        <f aca="false">HYPERLINK("https://item.szlcsc.com/77735.html","查看工程型号")</f>
        <v>查看工程型号</v>
      </c>
      <c r="O10" s="8" t="s">
        <v>34</v>
      </c>
    </row>
    <row r="11" customFormat="false" ht="64" hidden="false" customHeight="true" outlineLevel="0" collapsed="false">
      <c r="A11" s="1" t="s">
        <v>23</v>
      </c>
      <c r="B11" s="8" t="s">
        <v>35</v>
      </c>
      <c r="C11" s="8" t="s">
        <v>36</v>
      </c>
      <c r="D11" s="9" t="n">
        <v>2</v>
      </c>
      <c r="E11" s="9" t="n">
        <v>0</v>
      </c>
      <c r="F11" s="9" t="n">
        <f aca="false">D11*$B$4+E11*$D$4</f>
        <v>2</v>
      </c>
      <c r="G11" s="8" t="s">
        <v>37</v>
      </c>
      <c r="H11" s="8"/>
      <c r="I11" s="8" t="s">
        <v>27</v>
      </c>
      <c r="J11" s="10" t="str">
        <f aca="false">HYPERLINK("https://item.taobao.com/item.htm?id=1005108810412","打开订单商品")</f>
        <v>打开订单商品</v>
      </c>
      <c r="K11" s="8" t="s">
        <v>38</v>
      </c>
      <c r="L11" s="11" t="n">
        <v>100</v>
      </c>
      <c r="M11" s="11" t="n">
        <f aca="false">ROUNDUP(F11/L11,0)</f>
        <v>1</v>
      </c>
      <c r="N11" s="10" t="str">
        <f aca="false">HYPERLINK("https://item.szlcsc.com/167743.html","查看工程型号")</f>
        <v>查看工程型号</v>
      </c>
      <c r="O11" s="8" t="s">
        <v>39</v>
      </c>
    </row>
    <row r="12" customFormat="false" ht="64" hidden="false" customHeight="true" outlineLevel="0" collapsed="false">
      <c r="A12" s="1" t="s">
        <v>23</v>
      </c>
      <c r="B12" s="8" t="s">
        <v>40</v>
      </c>
      <c r="C12" s="8" t="s">
        <v>41</v>
      </c>
      <c r="D12" s="9" t="n">
        <v>13</v>
      </c>
      <c r="E12" s="9" t="n">
        <v>0</v>
      </c>
      <c r="F12" s="9" t="n">
        <f aca="false">D12*$B$4+E12*$D$4</f>
        <v>13</v>
      </c>
      <c r="G12" s="8" t="s">
        <v>42</v>
      </c>
      <c r="H12" s="8"/>
      <c r="I12" s="8" t="s">
        <v>27</v>
      </c>
      <c r="J12" s="10" t="str">
        <f aca="false">HYPERLINK("https://item.taobao.com/item.htm?id=731471380840","打开订单商品")</f>
        <v>打开订单商品</v>
      </c>
      <c r="K12" s="8" t="s">
        <v>43</v>
      </c>
      <c r="L12" s="11" t="n">
        <v>100</v>
      </c>
      <c r="M12" s="11" t="n">
        <f aca="false">ROUNDUP(F12/L12,0)</f>
        <v>1</v>
      </c>
      <c r="N12" s="10" t="str">
        <f aca="false">HYPERLINK("https://item.szlcsc.com/15331.html","查看工程型号")</f>
        <v>查看工程型号</v>
      </c>
      <c r="O12" s="8" t="s">
        <v>44</v>
      </c>
    </row>
    <row r="13" customFormat="false" ht="64" hidden="false" customHeight="true" outlineLevel="0" collapsed="false">
      <c r="A13" s="1" t="s">
        <v>23</v>
      </c>
      <c r="B13" s="8" t="s">
        <v>45</v>
      </c>
      <c r="C13" s="8" t="s">
        <v>46</v>
      </c>
      <c r="D13" s="9" t="n">
        <v>1</v>
      </c>
      <c r="E13" s="9" t="n">
        <v>0</v>
      </c>
      <c r="F13" s="9" t="n">
        <f aca="false">D13*$B$4+E13*$D$4</f>
        <v>1</v>
      </c>
      <c r="G13" s="8" t="s">
        <v>47</v>
      </c>
      <c r="H13" s="8"/>
      <c r="I13" s="8" t="s">
        <v>27</v>
      </c>
      <c r="J13" s="10" t="str">
        <f aca="false">HYPERLINK("https://item.taobao.com/item.htm?id=730407108775","打开订单商品")</f>
        <v>打开订单商品</v>
      </c>
      <c r="K13" s="8" t="s">
        <v>48</v>
      </c>
      <c r="L13" s="11" t="n">
        <v>1</v>
      </c>
      <c r="M13" s="11" t="n">
        <f aca="false">ROUNDUP(F13/L13,0)</f>
        <v>1</v>
      </c>
      <c r="N13" s="10" t="str">
        <f aca="false">HYPERLINK("https://item.szlcsc.com/77793.html","查看工程型号")</f>
        <v>查看工程型号</v>
      </c>
      <c r="O13" s="8" t="s">
        <v>49</v>
      </c>
    </row>
    <row r="14" customFormat="false" ht="64" hidden="false" customHeight="true" outlineLevel="0" collapsed="false">
      <c r="A14" s="1" t="s">
        <v>23</v>
      </c>
      <c r="B14" s="8" t="s">
        <v>50</v>
      </c>
      <c r="C14" s="8" t="s">
        <v>51</v>
      </c>
      <c r="D14" s="9" t="n">
        <v>2</v>
      </c>
      <c r="E14" s="9" t="n">
        <v>0</v>
      </c>
      <c r="F14" s="9" t="n">
        <f aca="false">D14*$B$4+E14*$D$4</f>
        <v>2</v>
      </c>
      <c r="G14" s="8" t="s">
        <v>52</v>
      </c>
      <c r="H14" s="8"/>
      <c r="I14" s="8" t="s">
        <v>53</v>
      </c>
      <c r="J14" s="10" t="str">
        <f aca="false">HYPERLINK("https://item.taobao.com/item.htm?id=993202872551","打开订单商品")</f>
        <v>打开订单商品</v>
      </c>
      <c r="K14" s="8" t="s">
        <v>54</v>
      </c>
      <c r="L14" s="11" t="n">
        <v>100</v>
      </c>
      <c r="M14" s="11" t="n">
        <f aca="false">ROUNDUP(F14/L14,0)</f>
        <v>1</v>
      </c>
      <c r="N14" s="10" t="str">
        <f aca="false">HYPERLINK("https://item.szlcsc.com/85589.html","查看工程型号")</f>
        <v>查看工程型号</v>
      </c>
      <c r="O14" s="8" t="s">
        <v>55</v>
      </c>
    </row>
    <row r="15" customFormat="false" ht="64" hidden="false" customHeight="true" outlineLevel="0" collapsed="false">
      <c r="A15" s="1" t="s">
        <v>23</v>
      </c>
      <c r="B15" s="8" t="s">
        <v>56</v>
      </c>
      <c r="C15" s="8" t="s">
        <v>57</v>
      </c>
      <c r="D15" s="9" t="n">
        <v>1</v>
      </c>
      <c r="E15" s="9" t="n">
        <v>0</v>
      </c>
      <c r="F15" s="9" t="n">
        <f aca="false">D15*$B$4+E15*$D$4</f>
        <v>1</v>
      </c>
      <c r="G15" s="8" t="s">
        <v>58</v>
      </c>
      <c r="H15" s="8"/>
      <c r="I15" s="8" t="s">
        <v>59</v>
      </c>
      <c r="J15" s="10" t="str">
        <f aca="false">HYPERLINK("https://item.taobao.com/item.htm?id=610558214623","打开订单商品")</f>
        <v>打开订单商品</v>
      </c>
      <c r="K15" s="8" t="s">
        <v>60</v>
      </c>
      <c r="L15" s="11" t="n">
        <v>100</v>
      </c>
      <c r="M15" s="11" t="n">
        <f aca="false">ROUNDUP(F15/L15,0)</f>
        <v>1</v>
      </c>
      <c r="N15" s="10" t="str">
        <f aca="false">HYPERLINK("https://item.szlcsc.com/101256.html","查看工程型号")</f>
        <v>查看工程型号</v>
      </c>
      <c r="O15" s="8" t="s">
        <v>61</v>
      </c>
    </row>
    <row r="16" customFormat="false" ht="64" hidden="false" customHeight="true" outlineLevel="0" collapsed="false">
      <c r="A16" s="1" t="s">
        <v>62</v>
      </c>
      <c r="B16" s="8" t="s">
        <v>63</v>
      </c>
      <c r="C16" s="8" t="s">
        <v>64</v>
      </c>
      <c r="D16" s="9" t="n">
        <v>1</v>
      </c>
      <c r="E16" s="9" t="n">
        <v>0</v>
      </c>
      <c r="F16" s="9" t="n">
        <f aca="false">D16*$B$4+E16*$D$4</f>
        <v>1</v>
      </c>
      <c r="G16" s="8" t="s">
        <v>65</v>
      </c>
      <c r="H16" s="8"/>
      <c r="I16" s="8" t="s">
        <v>66</v>
      </c>
      <c r="J16" s="10" t="str">
        <f aca="false">HYPERLINK("https://item.taobao.com/item.htm?id=793455311175","打开订单商品")</f>
        <v>打开订单商品</v>
      </c>
      <c r="K16" s="8" t="s">
        <v>67</v>
      </c>
      <c r="L16" s="11" t="n">
        <v>20</v>
      </c>
      <c r="M16" s="11" t="n">
        <f aca="false">ROUNDUP(F16/L16,0)</f>
        <v>1</v>
      </c>
      <c r="N16" s="10" t="str">
        <f aca="false">HYPERLINK("https://item.szlcsc.com/79742.html","查看工程型号")</f>
        <v>查看工程型号</v>
      </c>
      <c r="O16" s="8" t="s">
        <v>68</v>
      </c>
    </row>
    <row r="17" customFormat="false" ht="64" hidden="false" customHeight="true" outlineLevel="0" collapsed="false">
      <c r="A17" s="1" t="s">
        <v>62</v>
      </c>
      <c r="B17" s="8" t="s">
        <v>69</v>
      </c>
      <c r="C17" s="8" t="s">
        <v>70</v>
      </c>
      <c r="D17" s="9" t="n">
        <v>1</v>
      </c>
      <c r="E17" s="9" t="n">
        <v>0</v>
      </c>
      <c r="F17" s="9" t="n">
        <f aca="false">D17*$B$4+E17*$D$4</f>
        <v>1</v>
      </c>
      <c r="G17" s="8" t="s">
        <v>71</v>
      </c>
      <c r="H17" s="8"/>
      <c r="I17" s="8" t="s">
        <v>72</v>
      </c>
      <c r="J17" s="10" t="str">
        <f aca="false">HYPERLINK("https://item.taobao.com/item.htm?id=943185002457","打开订单商品")</f>
        <v>打开订单商品</v>
      </c>
      <c r="K17" s="8" t="s">
        <v>73</v>
      </c>
      <c r="L17" s="11" t="n">
        <v>50</v>
      </c>
      <c r="M17" s="11" t="n">
        <f aca="false">ROUNDUP(F17/L17,0)</f>
        <v>1</v>
      </c>
      <c r="N17" s="10" t="str">
        <f aca="false">HYPERLINK("https://item.szlcsc.com/162688.html","查看工程型号")</f>
        <v>查看工程型号</v>
      </c>
      <c r="O17" s="8" t="s">
        <v>74</v>
      </c>
    </row>
    <row r="18" customFormat="false" ht="64" hidden="false" customHeight="true" outlineLevel="0" collapsed="false">
      <c r="A18" s="1" t="s">
        <v>75</v>
      </c>
      <c r="B18" s="8" t="s">
        <v>76</v>
      </c>
      <c r="C18" s="8" t="s">
        <v>77</v>
      </c>
      <c r="D18" s="9" t="n">
        <v>1</v>
      </c>
      <c r="E18" s="9" t="n">
        <v>0</v>
      </c>
      <c r="F18" s="9" t="n">
        <f aca="false">D18*$B$4+E18*$D$4</f>
        <v>1</v>
      </c>
      <c r="G18" s="8" t="s">
        <v>78</v>
      </c>
      <c r="H18" s="8"/>
      <c r="I18" s="8" t="s">
        <v>79</v>
      </c>
      <c r="J18" s="10" t="str">
        <f aca="false">HYPERLINK("https://item.taobao.com/item.htm?id=931081429973","打开订单商品")</f>
        <v>打开订单商品</v>
      </c>
      <c r="K18" s="8" t="s">
        <v>80</v>
      </c>
      <c r="L18" s="11" t="n">
        <v>100</v>
      </c>
      <c r="M18" s="11" t="n">
        <f aca="false">ROUNDUP(F18/L18,0)</f>
        <v>1</v>
      </c>
      <c r="N18" s="10" t="str">
        <f aca="false">HYPERLINK("https://item.szlcsc.com/87009.html","查看工程型号")</f>
        <v>查看工程型号</v>
      </c>
      <c r="O18" s="8" t="s">
        <v>81</v>
      </c>
    </row>
    <row r="19" customFormat="false" ht="64" hidden="false" customHeight="true" outlineLevel="0" collapsed="false">
      <c r="A19" s="1" t="s">
        <v>75</v>
      </c>
      <c r="B19" s="8" t="s">
        <v>82</v>
      </c>
      <c r="C19" s="8" t="s">
        <v>83</v>
      </c>
      <c r="D19" s="9" t="n">
        <v>2</v>
      </c>
      <c r="E19" s="9" t="n">
        <v>0</v>
      </c>
      <c r="F19" s="9" t="n">
        <f aca="false">D19*$B$4+E19*$D$4</f>
        <v>2</v>
      </c>
      <c r="G19" s="8" t="s">
        <v>84</v>
      </c>
      <c r="H19" s="8"/>
      <c r="I19" s="8" t="s">
        <v>79</v>
      </c>
      <c r="J19" s="10" t="str">
        <f aca="false">HYPERLINK("https://item.taobao.com/item.htm?id=931081429973","打开订单商品")</f>
        <v>打开订单商品</v>
      </c>
      <c r="K19" s="8" t="s">
        <v>85</v>
      </c>
      <c r="L19" s="11" t="n">
        <v>100</v>
      </c>
      <c r="M19" s="11" t="n">
        <f aca="false">ROUNDUP(F19/L19,0)</f>
        <v>1</v>
      </c>
      <c r="N19" s="10" t="str">
        <f aca="false">HYPERLINK("https://item.szlcsc.com/2753383.html","查看工程型号")</f>
        <v>查看工程型号</v>
      </c>
      <c r="O19" s="8" t="s">
        <v>86</v>
      </c>
    </row>
    <row r="20" customFormat="false" ht="64" hidden="false" customHeight="true" outlineLevel="0" collapsed="false">
      <c r="A20" s="1" t="s">
        <v>87</v>
      </c>
      <c r="B20" s="8" t="s">
        <v>88</v>
      </c>
      <c r="C20" s="8" t="s">
        <v>89</v>
      </c>
      <c r="D20" s="9" t="n">
        <v>3</v>
      </c>
      <c r="E20" s="9" t="n">
        <v>0</v>
      </c>
      <c r="F20" s="9" t="n">
        <f aca="false">D20*$B$4+E20*$D$4</f>
        <v>3</v>
      </c>
      <c r="G20" s="8" t="s">
        <v>90</v>
      </c>
      <c r="H20" s="8"/>
      <c r="I20" s="8" t="s">
        <v>91</v>
      </c>
      <c r="J20" s="10" t="str">
        <f aca="false">HYPERLINK("https://item.taobao.com/item.htm?id=832569969546","打开订单商品")</f>
        <v>打开订单商品</v>
      </c>
      <c r="K20" s="8" t="s">
        <v>92</v>
      </c>
      <c r="L20" s="11" t="n">
        <v>50</v>
      </c>
      <c r="M20" s="11" t="n">
        <f aca="false">ROUNDUP(F20/L20,0)</f>
        <v>1</v>
      </c>
      <c r="N20" s="10" t="str">
        <f aca="false">HYPERLINK("https://item.szlcsc.com/171642.html","查看工程型号")</f>
        <v>查看工程型号</v>
      </c>
      <c r="O20" s="8" t="s">
        <v>93</v>
      </c>
    </row>
    <row r="21" customFormat="false" ht="64" hidden="false" customHeight="true" outlineLevel="0" collapsed="false">
      <c r="A21" s="1" t="s">
        <v>87</v>
      </c>
      <c r="B21" s="8" t="s">
        <v>94</v>
      </c>
      <c r="C21" s="8" t="s">
        <v>95</v>
      </c>
      <c r="D21" s="9" t="n">
        <v>1</v>
      </c>
      <c r="E21" s="9" t="n">
        <v>0</v>
      </c>
      <c r="F21" s="9" t="n">
        <f aca="false">D21*$B$4+E21*$D$4</f>
        <v>1</v>
      </c>
      <c r="G21" s="8" t="s">
        <v>96</v>
      </c>
      <c r="H21" s="8"/>
      <c r="I21" s="8" t="s">
        <v>97</v>
      </c>
      <c r="J21" s="10" t="str">
        <f aca="false">HYPERLINK("https://item.taobao.com/item.htm?id=533725557959","打开订单商品")</f>
        <v>打开订单商品</v>
      </c>
      <c r="K21" s="8" t="s">
        <v>98</v>
      </c>
      <c r="L21" s="11" t="n">
        <v>2</v>
      </c>
      <c r="M21" s="11" t="n">
        <f aca="false">ROUNDUP(F21/L21,0)</f>
        <v>1</v>
      </c>
      <c r="N21" s="10" t="str">
        <f aca="false">HYPERLINK("https://item.szlcsc.com/2784386.html","查看工程型号")</f>
        <v>查看工程型号</v>
      </c>
      <c r="O21" s="8" t="s">
        <v>99</v>
      </c>
    </row>
    <row r="22" customFormat="false" ht="64" hidden="false" customHeight="true" outlineLevel="0" collapsed="false">
      <c r="A22" s="1" t="s">
        <v>87</v>
      </c>
      <c r="B22" s="8" t="s">
        <v>100</v>
      </c>
      <c r="C22" s="8" t="s">
        <v>101</v>
      </c>
      <c r="D22" s="9" t="n">
        <v>1</v>
      </c>
      <c r="E22" s="9" t="n">
        <v>0</v>
      </c>
      <c r="F22" s="9" t="n">
        <f aca="false">D22*$B$4+E22*$D$4</f>
        <v>1</v>
      </c>
      <c r="G22" s="8" t="s">
        <v>102</v>
      </c>
      <c r="H22" s="8"/>
      <c r="I22" s="8" t="s">
        <v>103</v>
      </c>
      <c r="J22" s="10" t="str">
        <f aca="false">HYPERLINK("https://item.taobao.com/item.htm?id=920058690376","打开订单商品")</f>
        <v>打开订单商品</v>
      </c>
      <c r="K22" s="8" t="s">
        <v>104</v>
      </c>
      <c r="L22" s="11" t="n">
        <v>15</v>
      </c>
      <c r="M22" s="11" t="n">
        <f aca="false">ROUNDUP(F22/L22,0)</f>
        <v>1</v>
      </c>
      <c r="N22" s="10" t="str">
        <f aca="false">HYPERLINK("https://item.szlcsc.com/171770.html","查看工程型号")</f>
        <v>查看工程型号</v>
      </c>
      <c r="O22" s="8" t="s">
        <v>105</v>
      </c>
    </row>
    <row r="23" customFormat="false" ht="64" hidden="false" customHeight="true" outlineLevel="0" collapsed="false">
      <c r="A23" s="1" t="s">
        <v>87</v>
      </c>
      <c r="B23" s="8" t="s">
        <v>106</v>
      </c>
      <c r="C23" s="8" t="s">
        <v>89</v>
      </c>
      <c r="D23" s="9" t="n">
        <v>2</v>
      </c>
      <c r="E23" s="9" t="n">
        <v>1</v>
      </c>
      <c r="F23" s="9" t="n">
        <f aca="false">D23*$B$4+E23*$D$4</f>
        <v>3</v>
      </c>
      <c r="G23" s="8" t="s">
        <v>107</v>
      </c>
      <c r="H23" s="8" t="s">
        <v>108</v>
      </c>
      <c r="I23" s="8" t="s">
        <v>91</v>
      </c>
      <c r="J23" s="10" t="str">
        <f aca="false">HYPERLINK("https://item.taobao.com/item.htm?id=832569969546","打开订单商品")</f>
        <v>打开订单商品</v>
      </c>
      <c r="K23" s="8" t="s">
        <v>109</v>
      </c>
      <c r="L23" s="11" t="n">
        <v>50</v>
      </c>
      <c r="M23" s="11" t="n">
        <f aca="false">ROUNDUP(F23/L23,0)</f>
        <v>1</v>
      </c>
      <c r="N23" s="10" t="str">
        <f aca="false">HYPERLINK("https://item.szlcsc.com/171639.html","查看工程型号")</f>
        <v>查看工程型号</v>
      </c>
      <c r="O23" s="8" t="s">
        <v>110</v>
      </c>
    </row>
    <row r="24" customFormat="false" ht="64" hidden="false" customHeight="true" outlineLevel="0" collapsed="false">
      <c r="A24" s="1" t="s">
        <v>111</v>
      </c>
      <c r="B24" s="8" t="s">
        <v>112</v>
      </c>
      <c r="C24" s="8" t="s">
        <v>113</v>
      </c>
      <c r="D24" s="9" t="n">
        <v>1</v>
      </c>
      <c r="E24" s="9" t="n">
        <v>0</v>
      </c>
      <c r="F24" s="9" t="n">
        <f aca="false">D24*$B$4+E24*$D$4</f>
        <v>1</v>
      </c>
      <c r="G24" s="8" t="s">
        <v>114</v>
      </c>
      <c r="H24" s="8"/>
      <c r="I24" s="8" t="s">
        <v>115</v>
      </c>
      <c r="J24" s="10" t="str">
        <f aca="false">HYPERLINK("https://item.taobao.com/item.htm?id=598174251748","打开订单商品")</f>
        <v>打开订单商品</v>
      </c>
      <c r="K24" s="8" t="s">
        <v>116</v>
      </c>
      <c r="L24" s="11" t="n">
        <v>10</v>
      </c>
      <c r="M24" s="11" t="n">
        <f aca="false">ROUNDUP(F24/L24,0)</f>
        <v>1</v>
      </c>
      <c r="N24" s="10" t="str">
        <f aca="false">HYPERLINK("https://item.szlcsc.com/58286.html","查看工程型号")</f>
        <v>查看工程型号</v>
      </c>
      <c r="O24" s="8" t="s">
        <v>117</v>
      </c>
    </row>
    <row r="25" customFormat="false" ht="64" hidden="false" customHeight="true" outlineLevel="0" collapsed="false">
      <c r="A25" s="1" t="s">
        <v>118</v>
      </c>
      <c r="B25" s="8" t="s">
        <v>119</v>
      </c>
      <c r="C25" s="8" t="s">
        <v>120</v>
      </c>
      <c r="D25" s="9" t="n">
        <v>1</v>
      </c>
      <c r="E25" s="9" t="n">
        <v>0</v>
      </c>
      <c r="F25" s="9" t="n">
        <f aca="false">D25*$B$4+E25*$D$4</f>
        <v>1</v>
      </c>
      <c r="G25" s="8" t="s">
        <v>121</v>
      </c>
      <c r="H25" s="8"/>
      <c r="I25" s="8" t="s">
        <v>122</v>
      </c>
      <c r="J25" s="10" t="str">
        <f aca="false">HYPERLINK("https://item.taobao.com/item.htm?id=996702312391","打开订单商品")</f>
        <v>打开订单商品</v>
      </c>
      <c r="K25" s="8" t="s">
        <v>123</v>
      </c>
      <c r="L25" s="11" t="n">
        <v>2</v>
      </c>
      <c r="M25" s="11" t="n">
        <f aca="false">ROUNDUP(F25/L25,0)</f>
        <v>1</v>
      </c>
      <c r="N25" s="10" t="str">
        <f aca="false">HYPERLINK("https://item.szlcsc.com/8705873.html","查看工程型号")</f>
        <v>查看工程型号</v>
      </c>
      <c r="O25" s="8" t="s">
        <v>124</v>
      </c>
    </row>
    <row r="26" customFormat="false" ht="64" hidden="false" customHeight="true" outlineLevel="0" collapsed="false">
      <c r="A26" s="1" t="s">
        <v>62</v>
      </c>
      <c r="B26" s="8" t="s">
        <v>125</v>
      </c>
      <c r="C26" s="8" t="s">
        <v>126</v>
      </c>
      <c r="D26" s="9" t="n">
        <v>1</v>
      </c>
      <c r="E26" s="9" t="n">
        <v>0</v>
      </c>
      <c r="F26" s="9" t="n">
        <f aca="false">D26*$B$4+E26*$D$4</f>
        <v>1</v>
      </c>
      <c r="G26" s="8" t="s">
        <v>127</v>
      </c>
      <c r="H26" s="8"/>
      <c r="I26" s="8" t="s">
        <v>72</v>
      </c>
      <c r="J26" s="10" t="str">
        <f aca="false">HYPERLINK("https://item.taobao.com/item.htm?id=944306254140","打开订单商品")</f>
        <v>打开订单商品</v>
      </c>
      <c r="K26" s="8" t="s">
        <v>128</v>
      </c>
      <c r="L26" s="11" t="n">
        <v>50</v>
      </c>
      <c r="M26" s="11" t="n">
        <f aca="false">ROUNDUP(F26/L26,0)</f>
        <v>1</v>
      </c>
      <c r="N26" s="10" t="str">
        <f aca="false">HYPERLINK("https://item.szlcsc.com/774233.html","查看工程型号")</f>
        <v>查看工程型号</v>
      </c>
      <c r="O26" s="8" t="s">
        <v>129</v>
      </c>
    </row>
    <row r="27" customFormat="false" ht="64" hidden="false" customHeight="true" outlineLevel="0" collapsed="false">
      <c r="A27" s="1" t="s">
        <v>62</v>
      </c>
      <c r="B27" s="8" t="s">
        <v>130</v>
      </c>
      <c r="C27" s="8" t="s">
        <v>131</v>
      </c>
      <c r="D27" s="9" t="n">
        <v>1</v>
      </c>
      <c r="E27" s="9" t="n">
        <v>0</v>
      </c>
      <c r="F27" s="9" t="n">
        <f aca="false">D27*$B$4+E27*$D$4</f>
        <v>1</v>
      </c>
      <c r="G27" s="8" t="s">
        <v>132</v>
      </c>
      <c r="H27" s="8"/>
      <c r="I27" s="8" t="s">
        <v>133</v>
      </c>
      <c r="J27" s="10" t="str">
        <f aca="false">HYPERLINK("https://item.taobao.com/item.htm?id=909264246006","打开订单商品")</f>
        <v>打开订单商品</v>
      </c>
      <c r="K27" s="8" t="s">
        <v>134</v>
      </c>
      <c r="L27" s="11" t="n">
        <v>20</v>
      </c>
      <c r="M27" s="11" t="n">
        <f aca="false">ROUNDUP(F27/L27,0)</f>
        <v>1</v>
      </c>
      <c r="N27" s="10" t="str">
        <f aca="false">HYPERLINK("https://item.szlcsc.com/153849.html","查看工程型号")</f>
        <v>查看工程型号</v>
      </c>
      <c r="O27" s="8" t="s">
        <v>135</v>
      </c>
    </row>
    <row r="28" customFormat="false" ht="64" hidden="false" customHeight="true" outlineLevel="0" collapsed="false">
      <c r="A28" s="1" t="s">
        <v>136</v>
      </c>
      <c r="B28" s="8" t="s">
        <v>137</v>
      </c>
      <c r="C28" s="8" t="s">
        <v>138</v>
      </c>
      <c r="D28" s="9" t="n">
        <v>12</v>
      </c>
      <c r="E28" s="9" t="n">
        <v>3</v>
      </c>
      <c r="F28" s="9" t="n">
        <f aca="false">D28*$B$4+E28*$D$4</f>
        <v>15</v>
      </c>
      <c r="G28" s="8" t="s">
        <v>139</v>
      </c>
      <c r="H28" s="8" t="s">
        <v>140</v>
      </c>
      <c r="I28" s="8" t="s">
        <v>141</v>
      </c>
      <c r="J28" s="10" t="str">
        <f aca="false">HYPERLINK("https://item.taobao.com/item.htm?id=947267344247","打开订单商品")</f>
        <v>打开订单商品</v>
      </c>
      <c r="K28" s="8" t="s">
        <v>142</v>
      </c>
      <c r="L28" s="11" t="n">
        <v>100</v>
      </c>
      <c r="M28" s="11" t="n">
        <f aca="false">ROUNDUP(F28/L28,0)</f>
        <v>1</v>
      </c>
      <c r="N28" s="10" t="str">
        <f aca="false">HYPERLINK("https://item.szlcsc.com/99429.html","查看工程型号")</f>
        <v>查看工程型号</v>
      </c>
      <c r="O28" s="8" t="s">
        <v>143</v>
      </c>
    </row>
    <row r="29" customFormat="false" ht="64" hidden="false" customHeight="true" outlineLevel="0" collapsed="false">
      <c r="A29" s="1" t="s">
        <v>136</v>
      </c>
      <c r="B29" s="8" t="s">
        <v>144</v>
      </c>
      <c r="C29" s="8" t="s">
        <v>145</v>
      </c>
      <c r="D29" s="9" t="n">
        <v>5</v>
      </c>
      <c r="E29" s="9" t="n">
        <v>1</v>
      </c>
      <c r="F29" s="9" t="n">
        <f aca="false">D29*$B$4+E29*$D$4</f>
        <v>6</v>
      </c>
      <c r="G29" s="8" t="s">
        <v>146</v>
      </c>
      <c r="H29" s="8" t="s">
        <v>147</v>
      </c>
      <c r="I29" s="8" t="s">
        <v>141</v>
      </c>
      <c r="J29" s="10" t="str">
        <f aca="false">HYPERLINK("https://item.taobao.com/item.htm?id=947267344247","打开订单商品")</f>
        <v>打开订单商品</v>
      </c>
      <c r="K29" s="8" t="s">
        <v>148</v>
      </c>
      <c r="L29" s="11" t="n">
        <v>100</v>
      </c>
      <c r="M29" s="11" t="n">
        <f aca="false">ROUNDUP(F29/L29,0)</f>
        <v>1</v>
      </c>
      <c r="N29" s="10" t="str">
        <f aca="false">HYPERLINK("https://item.szlcsc.com/21903.html","查看工程型号")</f>
        <v>查看工程型号</v>
      </c>
      <c r="O29" s="8" t="s">
        <v>149</v>
      </c>
    </row>
    <row r="30" customFormat="false" ht="64" hidden="false" customHeight="true" outlineLevel="0" collapsed="false">
      <c r="A30" s="1" t="s">
        <v>136</v>
      </c>
      <c r="B30" s="8" t="s">
        <v>150</v>
      </c>
      <c r="C30" s="8" t="s">
        <v>151</v>
      </c>
      <c r="D30" s="9" t="n">
        <v>1</v>
      </c>
      <c r="E30" s="9" t="n">
        <v>0</v>
      </c>
      <c r="F30" s="9" t="n">
        <f aca="false">D30*$B$4+E30*$D$4</f>
        <v>1</v>
      </c>
      <c r="G30" s="8" t="s">
        <v>152</v>
      </c>
      <c r="H30" s="8"/>
      <c r="I30" s="8" t="s">
        <v>141</v>
      </c>
      <c r="J30" s="10" t="str">
        <f aca="false">HYPERLINK("https://item.taobao.com/item.htm?id=947267344247","打开订单商品")</f>
        <v>打开订单商品</v>
      </c>
      <c r="K30" s="8" t="s">
        <v>153</v>
      </c>
      <c r="L30" s="11" t="n">
        <v>100</v>
      </c>
      <c r="M30" s="11" t="n">
        <f aca="false">ROUNDUP(F30/L30,0)</f>
        <v>1</v>
      </c>
      <c r="N30" s="10" t="str">
        <f aca="false">HYPERLINK("https://www.lcsc.com/product-detail/C22775.html","查看工程型号")</f>
        <v>查看工程型号</v>
      </c>
      <c r="O30" s="8" t="s">
        <v>154</v>
      </c>
    </row>
    <row r="31" customFormat="false" ht="64" hidden="false" customHeight="true" outlineLevel="0" collapsed="false">
      <c r="A31" s="1" t="s">
        <v>136</v>
      </c>
      <c r="B31" s="8" t="s">
        <v>155</v>
      </c>
      <c r="C31" s="8" t="s">
        <v>156</v>
      </c>
      <c r="D31" s="9" t="n">
        <v>1</v>
      </c>
      <c r="E31" s="9" t="n">
        <v>0</v>
      </c>
      <c r="F31" s="9" t="n">
        <f aca="false">D31*$B$4+E31*$D$4</f>
        <v>1</v>
      </c>
      <c r="G31" s="8" t="s">
        <v>157</v>
      </c>
      <c r="H31" s="8"/>
      <c r="I31" s="8" t="s">
        <v>141</v>
      </c>
      <c r="J31" s="10" t="str">
        <f aca="false">HYPERLINK("https://item.taobao.com/item.htm?id=947267344247","打开订单商品")</f>
        <v>打开订单商品</v>
      </c>
      <c r="K31" s="8" t="s">
        <v>158</v>
      </c>
      <c r="L31" s="11" t="n">
        <v>100</v>
      </c>
      <c r="M31" s="11" t="n">
        <f aca="false">ROUNDUP(F31/L31,0)</f>
        <v>1</v>
      </c>
      <c r="N31" s="10" t="str">
        <f aca="false">HYPERLINK("https://item.szlcsc.com/4591.html","查看工程型号")</f>
        <v>查看工程型号</v>
      </c>
      <c r="O31" s="8" t="s">
        <v>159</v>
      </c>
    </row>
    <row r="32" customFormat="false" ht="100" hidden="false" customHeight="true" outlineLevel="0" collapsed="false">
      <c r="A32" s="1" t="s">
        <v>160</v>
      </c>
      <c r="B32" s="8" t="s">
        <v>161</v>
      </c>
      <c r="C32" s="8" t="s">
        <v>162</v>
      </c>
      <c r="D32" s="9" t="n">
        <v>1</v>
      </c>
      <c r="E32" s="9" t="n">
        <v>0</v>
      </c>
      <c r="F32" s="9" t="n">
        <f aca="false">D32*$B$4+E32*$D$4</f>
        <v>1</v>
      </c>
      <c r="G32" s="8" t="s">
        <v>163</v>
      </c>
      <c r="H32" s="8"/>
      <c r="I32" s="8" t="s">
        <v>164</v>
      </c>
      <c r="J32" s="10" t="str">
        <f aca="false">HYPERLINK("https://item.taobao.com/item.htm?id=582129955778","打开订单商品")</f>
        <v>打开订单商品</v>
      </c>
      <c r="K32" s="8" t="s">
        <v>165</v>
      </c>
      <c r="L32" s="11" t="n">
        <v>1</v>
      </c>
      <c r="M32" s="11" t="n">
        <f aca="false">ROUNDUP(F32/L32,0)</f>
        <v>1</v>
      </c>
      <c r="N32" s="1" t="str">
        <f aca="false">HYPERLINK("https://item.szlcsc.com/984022.html","查看工程型号")</f>
        <v>查看工程型号</v>
      </c>
      <c r="O32" s="8" t="s">
        <v>166</v>
      </c>
    </row>
    <row r="33" customFormat="false" ht="64" hidden="false" customHeight="true" outlineLevel="0" collapsed="false">
      <c r="A33" s="1" t="s">
        <v>62</v>
      </c>
      <c r="B33" s="8" t="s">
        <v>167</v>
      </c>
      <c r="C33" s="8" t="s">
        <v>168</v>
      </c>
      <c r="D33" s="9" t="n">
        <v>1</v>
      </c>
      <c r="E33" s="9" t="n">
        <v>0</v>
      </c>
      <c r="F33" s="9" t="n">
        <f aca="false">D33*$B$4+E33*$D$4</f>
        <v>1</v>
      </c>
      <c r="G33" s="8" t="s">
        <v>169</v>
      </c>
      <c r="H33" s="8"/>
      <c r="I33" s="8" t="s">
        <v>170</v>
      </c>
      <c r="J33" s="10" t="str">
        <f aca="false">HYPERLINK("https://item.taobao.com/item.htm?id=808484505787","打开订单商品")</f>
        <v>打开订单商品</v>
      </c>
      <c r="K33" s="8" t="s">
        <v>167</v>
      </c>
      <c r="L33" s="11" t="n">
        <v>1</v>
      </c>
      <c r="M33" s="11" t="n">
        <f aca="false">ROUNDUP(F33/L33,0)</f>
        <v>1</v>
      </c>
      <c r="N33" s="10" t="str">
        <f aca="false">HYPERLINK("https://item.szlcsc.com/87446.html","查看工程型号")</f>
        <v>查看工程型号</v>
      </c>
      <c r="O33" s="8" t="s">
        <v>171</v>
      </c>
    </row>
    <row r="34" customFormat="false" ht="64" hidden="false" customHeight="true" outlineLevel="0" collapsed="false">
      <c r="A34" s="1" t="s">
        <v>62</v>
      </c>
      <c r="B34" s="8" t="s">
        <v>172</v>
      </c>
      <c r="C34" s="8" t="s">
        <v>173</v>
      </c>
      <c r="D34" s="9" t="n">
        <v>1</v>
      </c>
      <c r="E34" s="9" t="n">
        <v>0</v>
      </c>
      <c r="F34" s="9" t="n">
        <f aca="false">D34*$B$4+E34*$D$4</f>
        <v>1</v>
      </c>
      <c r="G34" s="8" t="s">
        <v>174</v>
      </c>
      <c r="H34" s="8"/>
      <c r="I34" s="8" t="s">
        <v>175</v>
      </c>
      <c r="J34" s="10" t="str">
        <f aca="false">HYPERLINK("https://item.taobao.com/item.htm?id=908248360601","打开订单商品")</f>
        <v>打开订单商品</v>
      </c>
      <c r="K34" s="8" t="s">
        <v>176</v>
      </c>
      <c r="L34" s="11" t="n">
        <v>1</v>
      </c>
      <c r="M34" s="11" t="n">
        <f aca="false">ROUNDUP(F34/L34,0)</f>
        <v>1</v>
      </c>
      <c r="N34" s="10" t="str">
        <f aca="false">HYPERLINK("https://www.lcsc.com/product-detail/C181753.html","查看工程型号")</f>
        <v>查看工程型号</v>
      </c>
      <c r="O34" s="8" t="s">
        <v>177</v>
      </c>
    </row>
    <row r="35" customFormat="false" ht="64" hidden="false" customHeight="true" outlineLevel="0" collapsed="false">
      <c r="A35" s="1" t="s">
        <v>62</v>
      </c>
      <c r="B35" s="8" t="s">
        <v>178</v>
      </c>
      <c r="C35" s="8" t="s">
        <v>179</v>
      </c>
      <c r="D35" s="9" t="n">
        <v>1</v>
      </c>
      <c r="E35" s="9" t="n">
        <v>0</v>
      </c>
      <c r="F35" s="9" t="n">
        <f aca="false">D35*$B$4+E35*$D$4</f>
        <v>1</v>
      </c>
      <c r="G35" s="8" t="s">
        <v>180</v>
      </c>
      <c r="H35" s="8"/>
      <c r="I35" s="8" t="s">
        <v>91</v>
      </c>
      <c r="J35" s="10" t="str">
        <f aca="false">HYPERLINK("https://item.taobao.com/item.htm?id=762173333947","打开订单商品")</f>
        <v>打开订单商品</v>
      </c>
      <c r="K35" s="8" t="s">
        <v>181</v>
      </c>
      <c r="L35" s="11" t="n">
        <v>20</v>
      </c>
      <c r="M35" s="11" t="n">
        <f aca="false">ROUNDUP(F35/L35,0)</f>
        <v>1</v>
      </c>
      <c r="N35" s="10" t="str">
        <f aca="false">HYPERLINK("https://item.szlcsc.com/324033.html","查看工程型号")</f>
        <v>查看工程型号</v>
      </c>
      <c r="O35" s="8" t="s">
        <v>182</v>
      </c>
    </row>
    <row r="36" customFormat="false" ht="64" hidden="false" customHeight="true" outlineLevel="0" collapsed="false">
      <c r="A36" s="1" t="s">
        <v>62</v>
      </c>
      <c r="B36" s="8" t="s">
        <v>183</v>
      </c>
      <c r="C36" s="8" t="s">
        <v>184</v>
      </c>
      <c r="D36" s="9" t="n">
        <v>1</v>
      </c>
      <c r="E36" s="9" t="n">
        <v>0</v>
      </c>
      <c r="F36" s="9" t="n">
        <f aca="false">D36*$B$4+E36*$D$4</f>
        <v>1</v>
      </c>
      <c r="G36" s="8" t="s">
        <v>185</v>
      </c>
      <c r="H36" s="8"/>
      <c r="I36" s="8" t="s">
        <v>186</v>
      </c>
      <c r="J36" s="10" t="str">
        <f aca="false">HYPERLINK("https://item.taobao.com/item.htm?id=902117985110","打开订单商品")</f>
        <v>打开订单商品</v>
      </c>
      <c r="K36" s="8" t="s">
        <v>187</v>
      </c>
      <c r="L36" s="11" t="n">
        <v>5</v>
      </c>
      <c r="M36" s="11" t="n">
        <f aca="false">ROUNDUP(F36/L36,0)</f>
        <v>1</v>
      </c>
      <c r="N36" s="10" t="str">
        <f aca="false">HYPERLINK("https://www.lcsc.com/product-detail/C7666.html","查看工程型号")</f>
        <v>查看工程型号</v>
      </c>
      <c r="O36" s="8" t="s">
        <v>188</v>
      </c>
    </row>
    <row r="37" customFormat="false" ht="64" hidden="false" customHeight="true" outlineLevel="0" collapsed="false">
      <c r="A37" s="1" t="s">
        <v>62</v>
      </c>
      <c r="B37" s="8" t="s">
        <v>189</v>
      </c>
      <c r="C37" s="8" t="s">
        <v>190</v>
      </c>
      <c r="D37" s="9" t="n">
        <v>1</v>
      </c>
      <c r="E37" s="9" t="n">
        <v>0</v>
      </c>
      <c r="F37" s="9" t="n">
        <f aca="false">D37*$B$4+E37*$D$4</f>
        <v>1</v>
      </c>
      <c r="G37" s="8" t="s">
        <v>191</v>
      </c>
      <c r="H37" s="8"/>
      <c r="I37" s="8" t="s">
        <v>186</v>
      </c>
      <c r="J37" s="10" t="str">
        <f aca="false">HYPERLINK("https://item.taobao.com/item.htm?id=902117985110","打开订单商品")</f>
        <v>打开订单商品</v>
      </c>
      <c r="K37" s="8" t="s">
        <v>192</v>
      </c>
      <c r="L37" s="11" t="n">
        <v>5</v>
      </c>
      <c r="M37" s="11" t="n">
        <f aca="false">ROUNDUP(F37/L37,0)</f>
        <v>1</v>
      </c>
      <c r="N37" s="10" t="str">
        <f aca="false">HYPERLINK("https://item.szlcsc.com/3597950.html","查看工程型号")</f>
        <v>查看工程型号</v>
      </c>
      <c r="O37" s="8" t="s">
        <v>193</v>
      </c>
    </row>
    <row r="38" customFormat="false" ht="64" hidden="false" customHeight="true" outlineLevel="0" collapsed="false">
      <c r="A38" s="1" t="s">
        <v>62</v>
      </c>
      <c r="B38" s="8" t="s">
        <v>194</v>
      </c>
      <c r="C38" s="8" t="s">
        <v>195</v>
      </c>
      <c r="D38" s="9" t="n">
        <v>1</v>
      </c>
      <c r="E38" s="9" t="n">
        <v>0</v>
      </c>
      <c r="F38" s="9" t="n">
        <f aca="false">D38*$B$4+E38*$D$4</f>
        <v>1</v>
      </c>
      <c r="G38" s="8" t="s">
        <v>196</v>
      </c>
      <c r="H38" s="8"/>
      <c r="I38" s="8" t="s">
        <v>186</v>
      </c>
      <c r="J38" s="10" t="str">
        <f aca="false">HYPERLINK("https://item.taobao.com/item.htm?id=902117985110","打开订单商品")</f>
        <v>打开订单商品</v>
      </c>
      <c r="K38" s="8" t="s">
        <v>197</v>
      </c>
      <c r="L38" s="11" t="n">
        <v>5</v>
      </c>
      <c r="M38" s="11" t="n">
        <f aca="false">ROUNDUP(F38/L38,0)</f>
        <v>1</v>
      </c>
      <c r="N38" s="10" t="str">
        <f aca="false">HYPERLINK("https://www.lcsc.com/product-detail/C7834.html","查看工程型号")</f>
        <v>查看工程型号</v>
      </c>
      <c r="O38" s="8" t="s">
        <v>198</v>
      </c>
    </row>
    <row r="39" customFormat="false" ht="64" hidden="false" customHeight="true" outlineLevel="0" collapsed="false">
      <c r="A39" s="1" t="s">
        <v>62</v>
      </c>
      <c r="B39" s="8" t="s">
        <v>199</v>
      </c>
      <c r="C39" s="8" t="s">
        <v>200</v>
      </c>
      <c r="D39" s="9" t="n">
        <v>1</v>
      </c>
      <c r="E39" s="9" t="n">
        <v>0</v>
      </c>
      <c r="F39" s="9" t="n">
        <f aca="false">D39*$B$4+E39*$D$4</f>
        <v>1</v>
      </c>
      <c r="G39" s="8" t="s">
        <v>201</v>
      </c>
      <c r="H39" s="8"/>
      <c r="I39" s="8" t="s">
        <v>170</v>
      </c>
      <c r="J39" s="10" t="str">
        <f aca="false">HYPERLINK("https://item.taobao.com/item.htm?id=969642590399","打开订单商品")</f>
        <v>打开订单商品</v>
      </c>
      <c r="K39" s="8" t="s">
        <v>199</v>
      </c>
      <c r="L39" s="11" t="n">
        <v>1</v>
      </c>
      <c r="M39" s="11" t="n">
        <f aca="false">ROUNDUP(F39/L39,0)</f>
        <v>1</v>
      </c>
      <c r="N39" s="10" t="str">
        <f aca="false">HYPERLINK("https://item.szlcsc.com/2162639.html","查看工程型号")</f>
        <v>查看工程型号</v>
      </c>
      <c r="O39" s="8" t="s">
        <v>202</v>
      </c>
    </row>
    <row r="40" customFormat="false" ht="64" hidden="false" customHeight="true" outlineLevel="0" collapsed="false">
      <c r="A40" s="1" t="s">
        <v>62</v>
      </c>
      <c r="B40" s="8" t="s">
        <v>203</v>
      </c>
      <c r="C40" s="8" t="s">
        <v>204</v>
      </c>
      <c r="D40" s="9" t="n">
        <v>1</v>
      </c>
      <c r="E40" s="9" t="n">
        <v>0</v>
      </c>
      <c r="F40" s="9" t="n">
        <f aca="false">D40*$B$4+E40*$D$4</f>
        <v>1</v>
      </c>
      <c r="G40" s="8" t="s">
        <v>205</v>
      </c>
      <c r="H40" s="8"/>
      <c r="I40" s="8" t="s">
        <v>206</v>
      </c>
      <c r="J40" s="10" t="str">
        <f aca="false">HYPERLINK("https://item.taobao.com/item.htm?id=1013388982214","打开订单商品")</f>
        <v>打开订单商品</v>
      </c>
      <c r="K40" s="8" t="s">
        <v>207</v>
      </c>
      <c r="L40" s="11" t="n">
        <v>1</v>
      </c>
      <c r="M40" s="11" t="n">
        <f aca="false">ROUNDUP(F40/L40,0)</f>
        <v>1</v>
      </c>
      <c r="N40" s="10" t="str">
        <f aca="false">HYPERLINK("https://www.lcsc.com/product-detail/C473393.html","查看工程型号")</f>
        <v>查看工程型号</v>
      </c>
      <c r="O40" s="8" t="s">
        <v>208</v>
      </c>
    </row>
    <row r="41" customFormat="false" ht="64" hidden="false" customHeight="true" outlineLevel="0" collapsed="false">
      <c r="A41" s="1" t="s">
        <v>209</v>
      </c>
      <c r="B41" s="8" t="s">
        <v>210</v>
      </c>
      <c r="C41" s="8" t="s">
        <v>211</v>
      </c>
      <c r="D41" s="9" t="n">
        <v>1</v>
      </c>
      <c r="E41" s="9" t="n">
        <v>0</v>
      </c>
      <c r="F41" s="9" t="n">
        <f aca="false">D41*$B$4+E41*$D$4</f>
        <v>1</v>
      </c>
      <c r="G41" s="8" t="s">
        <v>212</v>
      </c>
      <c r="H41" s="8"/>
      <c r="I41" s="8" t="s">
        <v>213</v>
      </c>
      <c r="J41" s="10" t="str">
        <f aca="false">HYPERLINK("https://item.taobao.com/item.htm?id=944053669860","打开订单商品")</f>
        <v>打开订单商品</v>
      </c>
      <c r="K41" s="8" t="s">
        <v>214</v>
      </c>
      <c r="L41" s="11" t="n">
        <v>1</v>
      </c>
      <c r="M41" s="11" t="n">
        <f aca="false">ROUNDUP(F41/L41,0)</f>
        <v>1</v>
      </c>
      <c r="N41" s="10" t="str">
        <f aca="false">HYPERLINK("https://item.szlcsc.com/8414369.html","查看工程型号")</f>
        <v>查看工程型号</v>
      </c>
      <c r="O41" s="8" t="s">
        <v>215</v>
      </c>
    </row>
    <row r="42" customFormat="false" ht="64" hidden="false" customHeight="true" outlineLevel="0" collapsed="false">
      <c r="A42" s="1" t="s">
        <v>23</v>
      </c>
      <c r="B42" s="8" t="s">
        <v>216</v>
      </c>
      <c r="C42" s="8" t="s">
        <v>217</v>
      </c>
      <c r="D42" s="9" t="n">
        <v>0</v>
      </c>
      <c r="E42" s="9" t="n">
        <v>2</v>
      </c>
      <c r="F42" s="9" t="n">
        <f aca="false">D42*$B$4+E42*$D$4</f>
        <v>2</v>
      </c>
      <c r="G42" s="8"/>
      <c r="H42" s="8" t="s">
        <v>218</v>
      </c>
      <c r="I42" s="8" t="s">
        <v>27</v>
      </c>
      <c r="J42" s="10" t="str">
        <f aca="false">HYPERLINK("https://item.taobao.com/item.htm?id=977236759812","打开订单商品")</f>
        <v>打开订单商品</v>
      </c>
      <c r="K42" s="8" t="s">
        <v>219</v>
      </c>
      <c r="L42" s="11" t="n">
        <v>1</v>
      </c>
      <c r="M42" s="11" t="n">
        <f aca="false">ROUNDUP(F42/L42,0)</f>
        <v>2</v>
      </c>
      <c r="N42" s="10" t="str">
        <f aca="false">HYPERLINK("https://www.lcsc.com/product-detail/C1779.html","查看工程型号")</f>
        <v>查看工程型号</v>
      </c>
      <c r="O42" s="8" t="s">
        <v>220</v>
      </c>
    </row>
    <row r="43" customFormat="false" ht="64" hidden="false" customHeight="true" outlineLevel="0" collapsed="false">
      <c r="A43" s="1" t="s">
        <v>23</v>
      </c>
      <c r="B43" s="8" t="s">
        <v>221</v>
      </c>
      <c r="C43" s="8" t="s">
        <v>222</v>
      </c>
      <c r="D43" s="9" t="n">
        <v>0</v>
      </c>
      <c r="E43" s="9" t="n">
        <v>6</v>
      </c>
      <c r="F43" s="9" t="n">
        <f aca="false">D43*$B$4+E43*$D$4</f>
        <v>6</v>
      </c>
      <c r="G43" s="8"/>
      <c r="H43" s="8" t="s">
        <v>223</v>
      </c>
      <c r="I43" s="8" t="s">
        <v>27</v>
      </c>
      <c r="J43" s="10" t="str">
        <f aca="false">HYPERLINK("https://item.taobao.com/item.htm?id=731471380840","打开订单商品")</f>
        <v>打开订单商品</v>
      </c>
      <c r="K43" s="8" t="s">
        <v>43</v>
      </c>
      <c r="L43" s="11" t="n">
        <v>100</v>
      </c>
      <c r="M43" s="11" t="n">
        <f aca="false">ROUNDUP(F43/L43,0)</f>
        <v>1</v>
      </c>
      <c r="N43" s="10" t="str">
        <f aca="false">HYPERLINK("https://item.szlcsc.com/25192.html","查看工程型号")</f>
        <v>查看工程型号</v>
      </c>
      <c r="O43" s="8" t="s">
        <v>44</v>
      </c>
    </row>
    <row r="44" customFormat="false" ht="64" hidden="false" customHeight="true" outlineLevel="0" collapsed="false">
      <c r="A44" s="1" t="s">
        <v>23</v>
      </c>
      <c r="B44" s="8" t="s">
        <v>224</v>
      </c>
      <c r="C44" s="8" t="s">
        <v>25</v>
      </c>
      <c r="D44" s="9" t="n">
        <v>0</v>
      </c>
      <c r="E44" s="9" t="n">
        <v>2</v>
      </c>
      <c r="F44" s="9" t="n">
        <f aca="false">D44*$B$4+E44*$D$4</f>
        <v>2</v>
      </c>
      <c r="G44" s="8"/>
      <c r="H44" s="8" t="s">
        <v>225</v>
      </c>
      <c r="I44" s="8" t="s">
        <v>27</v>
      </c>
      <c r="J44" s="10" t="str">
        <f aca="false">HYPERLINK("https://item.taobao.com/item.htm?id=630712731066","打开订单商品")</f>
        <v>打开订单商品</v>
      </c>
      <c r="K44" s="8" t="s">
        <v>28</v>
      </c>
      <c r="L44" s="11" t="n">
        <v>1</v>
      </c>
      <c r="M44" s="11" t="n">
        <f aca="false">ROUNDUP(F44/L44,0)</f>
        <v>2</v>
      </c>
      <c r="N44" s="10" t="str">
        <f aca="false">HYPERLINK("https://item.szlcsc.com/16531.html","查看工程型号")</f>
        <v>查看工程型号</v>
      </c>
      <c r="O44" s="8" t="s">
        <v>29</v>
      </c>
    </row>
    <row r="45" customFormat="false" ht="64" hidden="false" customHeight="true" outlineLevel="0" collapsed="false">
      <c r="A45" s="1" t="s">
        <v>62</v>
      </c>
      <c r="B45" s="8" t="s">
        <v>226</v>
      </c>
      <c r="C45" s="8" t="s">
        <v>227</v>
      </c>
      <c r="D45" s="9" t="n">
        <v>0</v>
      </c>
      <c r="E45" s="9" t="n">
        <v>1</v>
      </c>
      <c r="F45" s="9" t="n">
        <f aca="false">D45*$B$4+E45*$D$4</f>
        <v>1</v>
      </c>
      <c r="G45" s="8"/>
      <c r="H45" s="8" t="s">
        <v>65</v>
      </c>
      <c r="I45" s="8" t="s">
        <v>228</v>
      </c>
      <c r="J45" s="10" t="str">
        <f aca="false">HYPERLINK("https://item.taobao.com/item.htm?id=891785167202","打开订单商品")</f>
        <v>打开订单商品</v>
      </c>
      <c r="K45" s="8" t="s">
        <v>176</v>
      </c>
      <c r="L45" s="11" t="n">
        <v>1</v>
      </c>
      <c r="M45" s="11" t="n">
        <f aca="false">ROUNDUP(F45/L45,0)</f>
        <v>1</v>
      </c>
      <c r="N45" s="10" t="str">
        <f aca="false">HYPERLINK("https://www.lcsc.com/product-detail/C330094.html","查看工程型号")</f>
        <v>查看工程型号</v>
      </c>
      <c r="O45" s="8" t="s">
        <v>229</v>
      </c>
    </row>
    <row r="46" customFormat="false" ht="64" hidden="false" customHeight="true" outlineLevel="0" collapsed="false">
      <c r="A46" s="1" t="s">
        <v>62</v>
      </c>
      <c r="B46" s="8" t="s">
        <v>230</v>
      </c>
      <c r="C46" s="8" t="s">
        <v>231</v>
      </c>
      <c r="D46" s="9" t="n">
        <v>0</v>
      </c>
      <c r="E46" s="9" t="n">
        <v>1</v>
      </c>
      <c r="F46" s="9" t="n">
        <f aca="false">D46*$B$4+E46*$D$4</f>
        <v>1</v>
      </c>
      <c r="G46" s="8"/>
      <c r="H46" s="8" t="s">
        <v>232</v>
      </c>
      <c r="I46" s="8" t="s">
        <v>233</v>
      </c>
      <c r="J46" s="10" t="str">
        <f aca="false">HYPERLINK("https://item.taobao.com/item.htm?id=1025817117811","打开订单商品")</f>
        <v>打开订单商品</v>
      </c>
      <c r="K46" s="8" t="s">
        <v>234</v>
      </c>
      <c r="L46" s="11" t="n">
        <v>100</v>
      </c>
      <c r="M46" s="11" t="n">
        <f aca="false">ROUNDUP(F46/L46,0)</f>
        <v>1</v>
      </c>
      <c r="N46" s="10" t="str">
        <f aca="false">HYPERLINK("https://www.lcsc.com/product-detail/Light-Emitting-Diodes-LED_Everlight-Elec-19-217-GHC-YR1S2-3T_C72043.html","查看工程型号")</f>
        <v>查看工程型号</v>
      </c>
      <c r="O46" s="8" t="s">
        <v>235</v>
      </c>
    </row>
    <row r="47" customFormat="false" ht="64" hidden="false" customHeight="true" outlineLevel="0" collapsed="false">
      <c r="A47" s="1" t="s">
        <v>87</v>
      </c>
      <c r="B47" s="8" t="s">
        <v>236</v>
      </c>
      <c r="C47" s="8" t="s">
        <v>237</v>
      </c>
      <c r="D47" s="9" t="n">
        <v>0</v>
      </c>
      <c r="E47" s="9" t="n">
        <v>1</v>
      </c>
      <c r="F47" s="9" t="n">
        <f aca="false">D47*$B$4+E47*$D$4</f>
        <v>1</v>
      </c>
      <c r="G47" s="8"/>
      <c r="H47" s="8" t="s">
        <v>238</v>
      </c>
      <c r="I47" s="8" t="s">
        <v>239</v>
      </c>
      <c r="J47" s="10" t="str">
        <f aca="false">HYPERLINK("https://item.taobao.com/item.htm?id=606816197525","打开订单商品")</f>
        <v>打开订单商品</v>
      </c>
      <c r="K47" s="8" t="s">
        <v>240</v>
      </c>
      <c r="L47" s="11" t="n">
        <v>30</v>
      </c>
      <c r="M47" s="11" t="n">
        <f aca="false">ROUNDUP(F47/L47,0)</f>
        <v>1</v>
      </c>
      <c r="N47" s="10" t="str">
        <f aca="false">HYPERLINK("https://item.szlcsc.com/502960.html","查看工程型号")</f>
        <v>查看工程型号</v>
      </c>
      <c r="O47" s="8" t="s">
        <v>241</v>
      </c>
    </row>
    <row r="48" customFormat="false" ht="64" hidden="false" customHeight="true" outlineLevel="0" collapsed="false">
      <c r="A48" s="1" t="s">
        <v>136</v>
      </c>
      <c r="B48" s="8" t="s">
        <v>242</v>
      </c>
      <c r="C48" s="8" t="s">
        <v>243</v>
      </c>
      <c r="D48" s="9" t="n">
        <v>0</v>
      </c>
      <c r="E48" s="9" t="n">
        <v>1</v>
      </c>
      <c r="F48" s="9" t="n">
        <f aca="false">D48*$B$4+E48*$D$4</f>
        <v>1</v>
      </c>
      <c r="G48" s="8"/>
      <c r="H48" s="8" t="s">
        <v>244</v>
      </c>
      <c r="I48" s="8" t="s">
        <v>141</v>
      </c>
      <c r="J48" s="10" t="str">
        <f aca="false">HYPERLINK("https://item.taobao.com/item.htm?id=947267344247","打开订单商品")</f>
        <v>打开订单商品</v>
      </c>
      <c r="K48" s="8" t="s">
        <v>245</v>
      </c>
      <c r="L48" s="11" t="n">
        <v>100</v>
      </c>
      <c r="M48" s="11" t="n">
        <f aca="false">ROUNDUP(F48/L48,0)</f>
        <v>1</v>
      </c>
      <c r="N48" s="10" t="str">
        <f aca="false">HYPERLINK("https://item.szlcsc.com/15343.html","查看工程型号")</f>
        <v>查看工程型号</v>
      </c>
      <c r="O48" s="8" t="s">
        <v>246</v>
      </c>
    </row>
    <row r="49" customFormat="false" ht="64" hidden="false" customHeight="true" outlineLevel="0" collapsed="false">
      <c r="A49" s="1" t="s">
        <v>136</v>
      </c>
      <c r="B49" s="8" t="s">
        <v>247</v>
      </c>
      <c r="C49" s="8" t="s">
        <v>248</v>
      </c>
      <c r="D49" s="9" t="n">
        <v>0</v>
      </c>
      <c r="E49" s="9" t="n">
        <v>1</v>
      </c>
      <c r="F49" s="9" t="n">
        <f aca="false">D49*$B$4+E49*$D$4</f>
        <v>1</v>
      </c>
      <c r="G49" s="8"/>
      <c r="H49" s="8" t="s">
        <v>249</v>
      </c>
      <c r="I49" s="8" t="s">
        <v>141</v>
      </c>
      <c r="J49" s="10" t="str">
        <f aca="false">HYPERLINK("https://item.taobao.com/item.htm?id=947267344247","打开订单商品")</f>
        <v>打开订单商品</v>
      </c>
      <c r="K49" s="8" t="s">
        <v>250</v>
      </c>
      <c r="L49" s="11" t="n">
        <v>100</v>
      </c>
      <c r="M49" s="11" t="n">
        <f aca="false">ROUNDUP(F49/L49,0)</f>
        <v>1</v>
      </c>
      <c r="N49" s="10" t="str">
        <f aca="false">HYPERLINK("https://item.szlcsc.com/23867.html","查看工程型号")</f>
        <v>查看工程型号</v>
      </c>
      <c r="O49" s="8" t="s">
        <v>251</v>
      </c>
    </row>
    <row r="50" customFormat="false" ht="64" hidden="false" customHeight="true" outlineLevel="0" collapsed="false">
      <c r="A50" s="1" t="s">
        <v>136</v>
      </c>
      <c r="B50" s="8" t="s">
        <v>252</v>
      </c>
      <c r="C50" s="8" t="s">
        <v>253</v>
      </c>
      <c r="D50" s="9" t="n">
        <v>0</v>
      </c>
      <c r="E50" s="9" t="n">
        <v>1</v>
      </c>
      <c r="F50" s="9" t="n">
        <f aca="false">D50*$B$4+E50*$D$4</f>
        <v>1</v>
      </c>
      <c r="G50" s="8"/>
      <c r="H50" s="8" t="s">
        <v>254</v>
      </c>
      <c r="I50" s="8" t="s">
        <v>141</v>
      </c>
      <c r="J50" s="10" t="str">
        <f aca="false">HYPERLINK("https://item.taobao.com/item.htm?id=947267344247","打开订单商品")</f>
        <v>打开订单商品</v>
      </c>
      <c r="K50" s="8" t="s">
        <v>255</v>
      </c>
      <c r="L50" s="11" t="n">
        <v>100</v>
      </c>
      <c r="M50" s="11" t="n">
        <f aca="false">ROUNDUP(F50/L50,0)</f>
        <v>1</v>
      </c>
      <c r="N50" s="10" t="str">
        <f aca="false">HYPERLINK("https://item.szlcsc.com/21904.html","查看工程型号")</f>
        <v>查看工程型号</v>
      </c>
      <c r="O50" s="8" t="s">
        <v>256</v>
      </c>
    </row>
    <row r="51" customFormat="false" ht="64" hidden="false" customHeight="true" outlineLevel="0" collapsed="false">
      <c r="A51" s="1" t="s">
        <v>62</v>
      </c>
      <c r="B51" s="8" t="s">
        <v>257</v>
      </c>
      <c r="C51" s="8" t="s">
        <v>258</v>
      </c>
      <c r="D51" s="9" t="n">
        <v>0</v>
      </c>
      <c r="E51" s="9" t="n">
        <v>1</v>
      </c>
      <c r="F51" s="9" t="n">
        <f aca="false">D51*$B$4+E51*$D$4</f>
        <v>1</v>
      </c>
      <c r="G51" s="8"/>
      <c r="H51" s="8" t="s">
        <v>169</v>
      </c>
      <c r="I51" s="8" t="s">
        <v>259</v>
      </c>
      <c r="J51" s="10" t="str">
        <f aca="false">HYPERLINK("https://item.taobao.com/item.htm?id=726808419708","打开订单商品")</f>
        <v>打开订单商品</v>
      </c>
      <c r="K51" s="8" t="s">
        <v>260</v>
      </c>
      <c r="L51" s="11" t="n">
        <v>1</v>
      </c>
      <c r="M51" s="11" t="n">
        <f aca="false">ROUNDUP(F51/L51,0)</f>
        <v>1</v>
      </c>
      <c r="N51" s="10" t="str">
        <f aca="false">HYPERLINK("https://item.szlcsc.com/549612.html","查看工程型号")</f>
        <v>查看工程型号</v>
      </c>
      <c r="O51" s="8" t="s">
        <v>261</v>
      </c>
    </row>
    <row r="52" customFormat="false" ht="64" hidden="false" customHeight="true" outlineLevel="0" collapsed="false">
      <c r="A52" s="1" t="s">
        <v>62</v>
      </c>
      <c r="B52" s="8" t="s">
        <v>262</v>
      </c>
      <c r="C52" s="8" t="s">
        <v>263</v>
      </c>
      <c r="D52" s="9" t="n">
        <v>0</v>
      </c>
      <c r="E52" s="9" t="n">
        <v>1</v>
      </c>
      <c r="F52" s="9" t="n">
        <f aca="false">D52*$B$4+E52*$D$4</f>
        <v>1</v>
      </c>
      <c r="G52" s="8"/>
      <c r="H52" s="8" t="s">
        <v>174</v>
      </c>
      <c r="I52" s="8" t="s">
        <v>264</v>
      </c>
      <c r="J52" s="10" t="str">
        <f aca="false">HYPERLINK("https://item.taobao.com/item.htm?id=640391703111","打开订单商品")</f>
        <v>打开订单商品</v>
      </c>
      <c r="K52" s="8" t="s">
        <v>262</v>
      </c>
      <c r="L52" s="11" t="n">
        <v>1</v>
      </c>
      <c r="M52" s="11" t="n">
        <f aca="false">ROUNDUP(F52/L52,0)</f>
        <v>1</v>
      </c>
      <c r="N52" s="10" t="str">
        <f aca="false">HYPERLINK("https://item.szlcsc.com/5993815.html","查看工程型号")</f>
        <v>查看工程型号</v>
      </c>
      <c r="O52" s="8" t="s">
        <v>265</v>
      </c>
    </row>
    <row r="53" customFormat="false" ht="64" hidden="false" customHeight="true" outlineLevel="0" collapsed="false">
      <c r="A53" s="1" t="s">
        <v>62</v>
      </c>
      <c r="B53" s="8" t="s">
        <v>266</v>
      </c>
      <c r="C53" s="8" t="s">
        <v>267</v>
      </c>
      <c r="D53" s="9" t="n">
        <v>0</v>
      </c>
      <c r="E53" s="9" t="n">
        <v>1</v>
      </c>
      <c r="F53" s="9" t="n">
        <f aca="false">D53*$B$4+E53*$D$4</f>
        <v>1</v>
      </c>
      <c r="G53" s="8"/>
      <c r="H53" s="8" t="s">
        <v>180</v>
      </c>
      <c r="I53" s="8" t="s">
        <v>268</v>
      </c>
      <c r="J53" s="10" t="str">
        <f aca="false">HYPERLINK("https://item.taobao.com/item.htm?id=747094785928","打开订单商品")</f>
        <v>打开订单商品</v>
      </c>
      <c r="K53" s="8" t="s">
        <v>266</v>
      </c>
      <c r="L53" s="11" t="n">
        <v>1</v>
      </c>
      <c r="M53" s="11" t="n">
        <f aca="false">ROUNDUP(F53/L53,0)</f>
        <v>1</v>
      </c>
      <c r="N53" s="10" t="str">
        <f aca="false">HYPERLINK("https://www.lcsc.com/product-detail/C94917.html","查看工程型号")</f>
        <v>查看工程型号</v>
      </c>
      <c r="O53" s="8" t="s">
        <v>269</v>
      </c>
    </row>
    <row r="54" customFormat="false" ht="64" hidden="false" customHeight="true" outlineLevel="0" collapsed="false">
      <c r="A54" s="1" t="s">
        <v>62</v>
      </c>
      <c r="B54" s="8" t="s">
        <v>270</v>
      </c>
      <c r="C54" s="8" t="s">
        <v>271</v>
      </c>
      <c r="D54" s="9" t="n">
        <v>0</v>
      </c>
      <c r="E54" s="9" t="n">
        <v>1</v>
      </c>
      <c r="F54" s="9" t="n">
        <f aca="false">D54*$B$4+E54*$D$4</f>
        <v>1</v>
      </c>
      <c r="G54" s="8"/>
      <c r="H54" s="8" t="s">
        <v>272</v>
      </c>
      <c r="I54" s="8" t="s">
        <v>273</v>
      </c>
      <c r="J54" s="10" t="str">
        <f aca="false">HYPERLINK("https://item.taobao.com/item.htm?id=705642638300","打开订单商品")</f>
        <v>打开订单商品</v>
      </c>
      <c r="K54" s="8" t="s">
        <v>176</v>
      </c>
      <c r="L54" s="11" t="n">
        <v>1</v>
      </c>
      <c r="M54" s="11" t="n">
        <f aca="false">ROUNDUP(F54/L54,0)</f>
        <v>1</v>
      </c>
      <c r="N54" s="10" t="str">
        <f aca="false">HYPERLINK("https://www.lcsc.com/product-detail/C21404.html","查看工程型号")</f>
        <v>查看工程型号</v>
      </c>
      <c r="O54" s="8" t="s">
        <v>274</v>
      </c>
    </row>
  </sheetData>
  <dataValidations count="2">
    <dataValidation allowBlank="false" errorStyle="stop" operator="between" showDropDown="false" showErrorMessage="false" showInputMessage="false" sqref="B4" type="whole">
      <formula1>0</formula1>
      <formula2>10000</formula2>
    </dataValidation>
    <dataValidation allowBlank="false" errorStyle="stop" operator="between" showDropDown="false" showErrorMessage="false" showInputMessage="false" sqref="D4" type="whole">
      <formula1>0</formula1>
      <formula2>10000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476183"/>
    <pageSetUpPr fitToPage="false"/>
  </sheetPr>
  <dimension ref="A1:K9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35"/>
    <col collapsed="false" customWidth="true" hidden="false" outlineLevel="0" max="4" min="4" style="0" width="16"/>
    <col collapsed="false" customWidth="true" hidden="false" outlineLevel="0" max="5" min="5" style="0" width="24"/>
    <col collapsed="false" customWidth="true" hidden="false" outlineLevel="0" max="6" min="6" style="0" width="49"/>
    <col collapsed="false" customWidth="true" hidden="false" outlineLevel="0" max="7" min="7" style="0" width="48"/>
    <col collapsed="false" customWidth="true" hidden="false" outlineLevel="0" max="8" min="8" style="0" width="19"/>
    <col collapsed="false" customWidth="true" hidden="false" outlineLevel="0" max="9" min="9" style="0" width="20"/>
    <col collapsed="false" customWidth="true" hidden="false" outlineLevel="0" max="10" min="10" style="0" width="65"/>
    <col collapsed="false" customWidth="true" hidden="false" outlineLevel="0" max="11" min="11" style="0" width="32"/>
    <col collapsed="false" customWidth="true" hidden="false" outlineLevel="0" max="12" min="12" style="0" width="65"/>
    <col collapsed="false" customWidth="true" hidden="false" outlineLevel="0" max="13" min="13" style="0" width="32"/>
  </cols>
  <sheetData>
    <row r="1" customFormat="false" ht="24" hidden="false" customHeight="true" outlineLevel="0" collapsed="false">
      <c r="A1" s="1"/>
      <c r="B1" s="1"/>
      <c r="C1" s="1"/>
      <c r="D1" s="1"/>
      <c r="E1" s="1"/>
      <c r="F1" s="1"/>
      <c r="G1" s="1"/>
      <c r="H1" s="1"/>
      <c r="I1" s="1"/>
      <c r="J1" s="1"/>
      <c r="K1" s="1"/>
    </row>
    <row r="2" customFormat="false" ht="30" hidden="false" customHeight="true" outlineLevel="0" collapsed="false">
      <c r="A2" s="2" t="s">
        <v>275</v>
      </c>
      <c r="B2" s="3"/>
      <c r="C2" s="3"/>
      <c r="D2" s="3"/>
      <c r="E2" s="3"/>
      <c r="F2" s="3"/>
      <c r="G2" s="3"/>
      <c r="H2" s="3"/>
      <c r="I2" s="3"/>
      <c r="J2" s="3"/>
      <c r="K2" s="3"/>
    </row>
    <row r="3" customFormat="false" ht="24" hidden="false" customHeight="true" outlineLevel="0" collapsed="false">
      <c r="A3" s="4" t="s">
        <v>276</v>
      </c>
      <c r="B3" s="1"/>
      <c r="C3" s="1"/>
      <c r="D3" s="1"/>
      <c r="E3" s="1"/>
      <c r="F3" s="1"/>
      <c r="G3" s="1"/>
      <c r="H3" s="1"/>
      <c r="I3" s="1"/>
      <c r="J3" s="1"/>
      <c r="K3" s="1"/>
    </row>
    <row r="4" customFormat="false" ht="24" hidden="false" customHeight="true" outlineLevel="0" collapsed="false">
      <c r="A4" s="1" t="s">
        <v>277</v>
      </c>
      <c r="B4" s="1"/>
      <c r="C4" s="1"/>
      <c r="D4" s="1"/>
      <c r="E4" s="1"/>
      <c r="F4" s="1"/>
      <c r="G4" s="1"/>
      <c r="H4" s="1"/>
      <c r="I4" s="1"/>
      <c r="J4" s="1"/>
      <c r="K4" s="1"/>
    </row>
    <row r="5" customFormat="false" ht="24" hidden="false" customHeight="true" outlineLevel="0" collapsed="false">
      <c r="A5" s="1" t="s">
        <v>278</v>
      </c>
      <c r="B5" s="1"/>
      <c r="C5" s="1"/>
      <c r="D5" s="1"/>
      <c r="E5" s="1"/>
      <c r="F5" s="1"/>
      <c r="G5" s="1"/>
      <c r="H5" s="1"/>
      <c r="I5" s="1"/>
      <c r="J5" s="1"/>
      <c r="K5" s="1"/>
    </row>
    <row r="6" customFormat="false" ht="24" hidden="false" customHeight="true" outlineLevel="0" collapsed="false">
      <c r="A6" s="1" t="s">
        <v>279</v>
      </c>
      <c r="B6" s="1"/>
      <c r="C6" s="1"/>
      <c r="D6" s="1"/>
      <c r="E6" s="1"/>
      <c r="F6" s="1"/>
      <c r="G6" s="1"/>
      <c r="H6" s="1"/>
      <c r="I6" s="1"/>
      <c r="J6" s="1"/>
      <c r="K6" s="1"/>
    </row>
    <row r="7" customFormat="false" ht="34" hidden="false" customHeight="true" outlineLevel="0" collapsed="false">
      <c r="A7" s="12" t="s">
        <v>280</v>
      </c>
      <c r="B7" s="6" t="s">
        <v>281</v>
      </c>
      <c r="C7" s="6" t="s">
        <v>282</v>
      </c>
      <c r="D7" s="6" t="s">
        <v>283</v>
      </c>
      <c r="E7" s="6" t="s">
        <v>284</v>
      </c>
      <c r="F7" s="6" t="s">
        <v>285</v>
      </c>
      <c r="G7" s="6" t="s">
        <v>286</v>
      </c>
      <c r="H7" s="6" t="s">
        <v>17</v>
      </c>
      <c r="I7" s="6" t="s">
        <v>287</v>
      </c>
      <c r="J7" s="6" t="s">
        <v>288</v>
      </c>
      <c r="K7" s="7" t="s">
        <v>289</v>
      </c>
    </row>
    <row r="8" customFormat="false" ht="64" hidden="false" customHeight="true" outlineLevel="0" collapsed="false">
      <c r="A8" s="1" t="s">
        <v>290</v>
      </c>
      <c r="B8" s="8" t="s">
        <v>291</v>
      </c>
      <c r="C8" s="8" t="s">
        <v>24</v>
      </c>
      <c r="D8" s="1" t="s">
        <v>292</v>
      </c>
      <c r="E8" s="8" t="s">
        <v>293</v>
      </c>
      <c r="F8" s="8" t="s">
        <v>294</v>
      </c>
      <c r="G8" s="8" t="s">
        <v>28</v>
      </c>
      <c r="H8" s="10" t="str">
        <f aca="false">HYPERLINK("https://item.taobao.com/item.htm?id=630712731066","打开订单商品")</f>
        <v>打开订单商品</v>
      </c>
      <c r="I8" s="10" t="str">
        <f aca="false">HYPERLINK("https://www.lcsc.com/product-detail/C128624.html","查看工程型号")</f>
        <v>查看工程型号</v>
      </c>
      <c r="J8" s="8" t="s">
        <v>29</v>
      </c>
      <c r="K8" s="8" t="s">
        <v>295</v>
      </c>
    </row>
    <row r="9" customFormat="false" ht="64" hidden="false" customHeight="true" outlineLevel="0" collapsed="false">
      <c r="A9" s="1" t="s">
        <v>296</v>
      </c>
      <c r="B9" s="8" t="s">
        <v>297</v>
      </c>
      <c r="C9" s="8" t="s">
        <v>24</v>
      </c>
      <c r="D9" s="1" t="s">
        <v>292</v>
      </c>
      <c r="E9" s="8" t="s">
        <v>293</v>
      </c>
      <c r="F9" s="8" t="s">
        <v>294</v>
      </c>
      <c r="G9" s="8" t="s">
        <v>28</v>
      </c>
      <c r="H9" s="10" t="str">
        <f aca="false">HYPERLINK("https://item.taobao.com/item.htm?id=630712731066","打开订单商品")</f>
        <v>打开订单商品</v>
      </c>
      <c r="I9" s="10" t="str">
        <f aca="false">HYPERLINK("https://www.lcsc.com/product-detail/C128624.html","查看工程型号")</f>
        <v>查看工程型号</v>
      </c>
      <c r="J9" s="8" t="s">
        <v>29</v>
      </c>
      <c r="K9" s="8" t="s">
        <v>295</v>
      </c>
    </row>
    <row r="10" customFormat="false" ht="64" hidden="false" customHeight="true" outlineLevel="0" collapsed="false">
      <c r="A10" s="1" t="s">
        <v>298</v>
      </c>
      <c r="B10" s="8" t="s">
        <v>299</v>
      </c>
      <c r="C10" s="8" t="s">
        <v>24</v>
      </c>
      <c r="D10" s="1" t="s">
        <v>292</v>
      </c>
      <c r="E10" s="8" t="s">
        <v>293</v>
      </c>
      <c r="F10" s="8" t="s">
        <v>294</v>
      </c>
      <c r="G10" s="8" t="s">
        <v>28</v>
      </c>
      <c r="H10" s="10" t="str">
        <f aca="false">HYPERLINK("https://item.taobao.com/item.htm?id=630712731066","打开订单商品")</f>
        <v>打开订单商品</v>
      </c>
      <c r="I10" s="10" t="str">
        <f aca="false">HYPERLINK("https://www.lcsc.com/product-detail/C128624.html","查看工程型号")</f>
        <v>查看工程型号</v>
      </c>
      <c r="J10" s="8" t="s">
        <v>29</v>
      </c>
      <c r="K10" s="8" t="s">
        <v>295</v>
      </c>
    </row>
    <row r="11" customFormat="false" ht="64" hidden="false" customHeight="true" outlineLevel="0" collapsed="false">
      <c r="A11" s="1" t="s">
        <v>300</v>
      </c>
      <c r="B11" s="8" t="s">
        <v>301</v>
      </c>
      <c r="C11" s="8" t="s">
        <v>24</v>
      </c>
      <c r="D11" s="1" t="s">
        <v>292</v>
      </c>
      <c r="E11" s="8" t="s">
        <v>293</v>
      </c>
      <c r="F11" s="8" t="s">
        <v>294</v>
      </c>
      <c r="G11" s="8" t="s">
        <v>28</v>
      </c>
      <c r="H11" s="10" t="str">
        <f aca="false">HYPERLINK("https://item.taobao.com/item.htm?id=630712731066","打开订单商品")</f>
        <v>打开订单商品</v>
      </c>
      <c r="I11" s="10" t="str">
        <f aca="false">HYPERLINK("https://www.lcsc.com/product-detail/C128624.html","查看工程型号")</f>
        <v>查看工程型号</v>
      </c>
      <c r="J11" s="8" t="s">
        <v>29</v>
      </c>
      <c r="K11" s="8" t="s">
        <v>295</v>
      </c>
    </row>
    <row r="12" customFormat="false" ht="64" hidden="false" customHeight="true" outlineLevel="0" collapsed="false">
      <c r="A12" s="1" t="s">
        <v>302</v>
      </c>
      <c r="B12" s="8" t="s">
        <v>303</v>
      </c>
      <c r="C12" s="8" t="s">
        <v>30</v>
      </c>
      <c r="D12" s="1" t="s">
        <v>304</v>
      </c>
      <c r="E12" s="8" t="s">
        <v>293</v>
      </c>
      <c r="F12" s="8" t="s">
        <v>305</v>
      </c>
      <c r="G12" s="8" t="s">
        <v>33</v>
      </c>
      <c r="H12" s="10" t="str">
        <f aca="false">HYPERLINK("https://item.taobao.com/item.htm?id=630712731066","打开订单商品")</f>
        <v>打开订单商品</v>
      </c>
      <c r="I12" s="10" t="str">
        <f aca="false">HYPERLINK("https://item.szlcsc.com/77735.html","查看工程型号")</f>
        <v>查看工程型号</v>
      </c>
      <c r="J12" s="8" t="s">
        <v>34</v>
      </c>
      <c r="K12" s="8" t="s">
        <v>295</v>
      </c>
    </row>
    <row r="13" customFormat="false" ht="64" hidden="false" customHeight="true" outlineLevel="0" collapsed="false">
      <c r="A13" s="1" t="s">
        <v>306</v>
      </c>
      <c r="B13" s="8" t="s">
        <v>301</v>
      </c>
      <c r="C13" s="8" t="s">
        <v>24</v>
      </c>
      <c r="D13" s="1" t="s">
        <v>292</v>
      </c>
      <c r="E13" s="8" t="s">
        <v>293</v>
      </c>
      <c r="F13" s="8" t="s">
        <v>294</v>
      </c>
      <c r="G13" s="8" t="s">
        <v>28</v>
      </c>
      <c r="H13" s="10" t="str">
        <f aca="false">HYPERLINK("https://item.taobao.com/item.htm?id=630712731066","打开订单商品")</f>
        <v>打开订单商品</v>
      </c>
      <c r="I13" s="10" t="str">
        <f aca="false">HYPERLINK("https://www.lcsc.com/product-detail/C128624.html","查看工程型号")</f>
        <v>查看工程型号</v>
      </c>
      <c r="J13" s="8" t="s">
        <v>29</v>
      </c>
      <c r="K13" s="8" t="s">
        <v>295</v>
      </c>
    </row>
    <row r="14" customFormat="false" ht="64" hidden="false" customHeight="true" outlineLevel="0" collapsed="false">
      <c r="A14" s="1" t="s">
        <v>307</v>
      </c>
      <c r="B14" s="8" t="s">
        <v>303</v>
      </c>
      <c r="C14" s="8" t="s">
        <v>30</v>
      </c>
      <c r="D14" s="1" t="s">
        <v>304</v>
      </c>
      <c r="E14" s="8" t="s">
        <v>293</v>
      </c>
      <c r="F14" s="8" t="s">
        <v>305</v>
      </c>
      <c r="G14" s="8" t="s">
        <v>33</v>
      </c>
      <c r="H14" s="10" t="str">
        <f aca="false">HYPERLINK("https://item.taobao.com/item.htm?id=630712731066","打开订单商品")</f>
        <v>打开订单商品</v>
      </c>
      <c r="I14" s="10" t="str">
        <f aca="false">HYPERLINK("https://item.szlcsc.com/77735.html","查看工程型号")</f>
        <v>查看工程型号</v>
      </c>
      <c r="J14" s="8" t="s">
        <v>34</v>
      </c>
      <c r="K14" s="8" t="s">
        <v>295</v>
      </c>
    </row>
    <row r="15" customFormat="false" ht="64" hidden="false" customHeight="true" outlineLevel="0" collapsed="false">
      <c r="A15" s="1" t="s">
        <v>308</v>
      </c>
      <c r="B15" s="8" t="s">
        <v>35</v>
      </c>
      <c r="C15" s="8" t="s">
        <v>35</v>
      </c>
      <c r="D15" s="1" t="s">
        <v>309</v>
      </c>
      <c r="E15" s="8" t="s">
        <v>293</v>
      </c>
      <c r="F15" s="8" t="s">
        <v>310</v>
      </c>
      <c r="G15" s="8" t="s">
        <v>38</v>
      </c>
      <c r="H15" s="10" t="str">
        <f aca="false">HYPERLINK("https://item.taobao.com/item.htm?id=1005108810412","打开订单商品")</f>
        <v>打开订单商品</v>
      </c>
      <c r="I15" s="10" t="str">
        <f aca="false">HYPERLINK("https://item.szlcsc.com/167743.html","查看工程型号")</f>
        <v>查看工程型号</v>
      </c>
      <c r="J15" s="8" t="s">
        <v>39</v>
      </c>
      <c r="K15" s="8" t="s">
        <v>295</v>
      </c>
    </row>
    <row r="16" customFormat="false" ht="64" hidden="false" customHeight="true" outlineLevel="0" collapsed="false">
      <c r="A16" s="1" t="s">
        <v>311</v>
      </c>
      <c r="B16" s="8" t="s">
        <v>35</v>
      </c>
      <c r="C16" s="8" t="s">
        <v>35</v>
      </c>
      <c r="D16" s="1" t="s">
        <v>309</v>
      </c>
      <c r="E16" s="8" t="s">
        <v>293</v>
      </c>
      <c r="F16" s="8" t="s">
        <v>310</v>
      </c>
      <c r="G16" s="8" t="s">
        <v>38</v>
      </c>
      <c r="H16" s="10" t="str">
        <f aca="false">HYPERLINK("https://item.taobao.com/item.htm?id=1005108810412","打开订单商品")</f>
        <v>打开订单商品</v>
      </c>
      <c r="I16" s="10" t="str">
        <f aca="false">HYPERLINK("https://item.szlcsc.com/167743.html","查看工程型号")</f>
        <v>查看工程型号</v>
      </c>
      <c r="J16" s="8" t="s">
        <v>39</v>
      </c>
      <c r="K16" s="8" t="s">
        <v>295</v>
      </c>
    </row>
    <row r="17" customFormat="false" ht="64" hidden="false" customHeight="true" outlineLevel="0" collapsed="false">
      <c r="A17" s="1" t="s">
        <v>312</v>
      </c>
      <c r="B17" s="8" t="s">
        <v>313</v>
      </c>
      <c r="C17" s="8" t="s">
        <v>24</v>
      </c>
      <c r="D17" s="1" t="s">
        <v>292</v>
      </c>
      <c r="E17" s="8" t="s">
        <v>293</v>
      </c>
      <c r="F17" s="8" t="s">
        <v>294</v>
      </c>
      <c r="G17" s="8" t="s">
        <v>28</v>
      </c>
      <c r="H17" s="10" t="str">
        <f aca="false">HYPERLINK("https://item.taobao.com/item.htm?id=630712731066","打开订单商品")</f>
        <v>打开订单商品</v>
      </c>
      <c r="I17" s="10" t="str">
        <f aca="false">HYPERLINK("https://www.lcsc.com/product-detail/C128624.html","查看工程型号")</f>
        <v>查看工程型号</v>
      </c>
      <c r="J17" s="8" t="s">
        <v>29</v>
      </c>
      <c r="K17" s="8" t="s">
        <v>295</v>
      </c>
    </row>
    <row r="18" customFormat="false" ht="64" hidden="false" customHeight="true" outlineLevel="0" collapsed="false">
      <c r="A18" s="1" t="s">
        <v>314</v>
      </c>
      <c r="B18" s="8" t="s">
        <v>315</v>
      </c>
      <c r="C18" s="8" t="s">
        <v>40</v>
      </c>
      <c r="D18" s="1" t="s">
        <v>316</v>
      </c>
      <c r="E18" s="8" t="s">
        <v>293</v>
      </c>
      <c r="F18" s="8" t="s">
        <v>317</v>
      </c>
      <c r="G18" s="8" t="s">
        <v>43</v>
      </c>
      <c r="H18" s="10" t="str">
        <f aca="false">HYPERLINK("https://item.taobao.com/item.htm?id=731471380840","打开订单商品")</f>
        <v>打开订单商品</v>
      </c>
      <c r="I18" s="10" t="str">
        <f aca="false">HYPERLINK("https://item.szlcsc.com/15331.html","查看工程型号")</f>
        <v>查看工程型号</v>
      </c>
      <c r="J18" s="8" t="s">
        <v>44</v>
      </c>
      <c r="K18" s="8" t="s">
        <v>295</v>
      </c>
    </row>
    <row r="19" customFormat="false" ht="64" hidden="false" customHeight="true" outlineLevel="0" collapsed="false">
      <c r="A19" s="1" t="s">
        <v>318</v>
      </c>
      <c r="B19" s="8" t="s">
        <v>319</v>
      </c>
      <c r="C19" s="8" t="s">
        <v>30</v>
      </c>
      <c r="D19" s="1" t="s">
        <v>304</v>
      </c>
      <c r="E19" s="8" t="s">
        <v>293</v>
      </c>
      <c r="F19" s="8" t="s">
        <v>305</v>
      </c>
      <c r="G19" s="8" t="s">
        <v>33</v>
      </c>
      <c r="H19" s="10" t="str">
        <f aca="false">HYPERLINK("https://item.taobao.com/item.htm?id=630712731066","打开订单商品")</f>
        <v>打开订单商品</v>
      </c>
      <c r="I19" s="10" t="str">
        <f aca="false">HYPERLINK("https://item.szlcsc.com/77735.html","查看工程型号")</f>
        <v>查看工程型号</v>
      </c>
      <c r="J19" s="8" t="s">
        <v>34</v>
      </c>
      <c r="K19" s="8" t="s">
        <v>295</v>
      </c>
    </row>
    <row r="20" customFormat="false" ht="64" hidden="false" customHeight="true" outlineLevel="0" collapsed="false">
      <c r="A20" s="1" t="s">
        <v>320</v>
      </c>
      <c r="B20" s="8" t="s">
        <v>321</v>
      </c>
      <c r="C20" s="8" t="s">
        <v>30</v>
      </c>
      <c r="D20" s="1" t="s">
        <v>304</v>
      </c>
      <c r="E20" s="8" t="s">
        <v>293</v>
      </c>
      <c r="F20" s="8" t="s">
        <v>305</v>
      </c>
      <c r="G20" s="8" t="s">
        <v>33</v>
      </c>
      <c r="H20" s="10" t="str">
        <f aca="false">HYPERLINK("https://item.taobao.com/item.htm?id=630712731066","打开订单商品")</f>
        <v>打开订单商品</v>
      </c>
      <c r="I20" s="10" t="str">
        <f aca="false">HYPERLINK("https://item.szlcsc.com/77735.html","查看工程型号")</f>
        <v>查看工程型号</v>
      </c>
      <c r="J20" s="8" t="s">
        <v>34</v>
      </c>
      <c r="K20" s="8" t="s">
        <v>295</v>
      </c>
    </row>
    <row r="21" customFormat="false" ht="64" hidden="false" customHeight="true" outlineLevel="0" collapsed="false">
      <c r="A21" s="1" t="s">
        <v>322</v>
      </c>
      <c r="B21" s="8" t="s">
        <v>323</v>
      </c>
      <c r="C21" s="8" t="s">
        <v>40</v>
      </c>
      <c r="D21" s="1" t="s">
        <v>316</v>
      </c>
      <c r="E21" s="8" t="s">
        <v>293</v>
      </c>
      <c r="F21" s="8" t="s">
        <v>317</v>
      </c>
      <c r="G21" s="8" t="s">
        <v>43</v>
      </c>
      <c r="H21" s="10" t="str">
        <f aca="false">HYPERLINK("https://item.taobao.com/item.htm?id=731471380840","打开订单商品")</f>
        <v>打开订单商品</v>
      </c>
      <c r="I21" s="10" t="str">
        <f aca="false">HYPERLINK("https://item.szlcsc.com/15331.html","查看工程型号")</f>
        <v>查看工程型号</v>
      </c>
      <c r="J21" s="8" t="s">
        <v>44</v>
      </c>
      <c r="K21" s="8" t="s">
        <v>295</v>
      </c>
    </row>
    <row r="22" customFormat="false" ht="64" hidden="false" customHeight="true" outlineLevel="0" collapsed="false">
      <c r="A22" s="1" t="s">
        <v>47</v>
      </c>
      <c r="B22" s="8" t="s">
        <v>45</v>
      </c>
      <c r="C22" s="8" t="s">
        <v>45</v>
      </c>
      <c r="D22" s="1" t="s">
        <v>324</v>
      </c>
      <c r="E22" s="8" t="s">
        <v>325</v>
      </c>
      <c r="F22" s="8" t="s">
        <v>326</v>
      </c>
      <c r="G22" s="8" t="s">
        <v>48</v>
      </c>
      <c r="H22" s="10" t="str">
        <f aca="false">HYPERLINK("https://item.taobao.com/item.htm?id=730407108775","打开订单商品")</f>
        <v>打开订单商品</v>
      </c>
      <c r="I22" s="10" t="str">
        <f aca="false">HYPERLINK("https://item.szlcsc.com/77793.html","查看工程型号")</f>
        <v>查看工程型号</v>
      </c>
      <c r="J22" s="8" t="s">
        <v>49</v>
      </c>
      <c r="K22" s="8" t="s">
        <v>295</v>
      </c>
    </row>
    <row r="23" customFormat="false" ht="64" hidden="false" customHeight="true" outlineLevel="0" collapsed="false">
      <c r="A23" s="1" t="s">
        <v>327</v>
      </c>
      <c r="B23" s="8" t="s">
        <v>328</v>
      </c>
      <c r="C23" s="8" t="s">
        <v>40</v>
      </c>
      <c r="D23" s="1" t="s">
        <v>316</v>
      </c>
      <c r="E23" s="8" t="s">
        <v>293</v>
      </c>
      <c r="F23" s="8" t="s">
        <v>317</v>
      </c>
      <c r="G23" s="8" t="s">
        <v>43</v>
      </c>
      <c r="H23" s="10" t="str">
        <f aca="false">HYPERLINK("https://item.taobao.com/item.htm?id=731471380840","打开订单商品")</f>
        <v>打开订单商品</v>
      </c>
      <c r="I23" s="10" t="str">
        <f aca="false">HYPERLINK("https://item.szlcsc.com/15331.html","查看工程型号")</f>
        <v>查看工程型号</v>
      </c>
      <c r="J23" s="8" t="s">
        <v>44</v>
      </c>
      <c r="K23" s="8" t="s">
        <v>295</v>
      </c>
    </row>
    <row r="24" customFormat="false" ht="64" hidden="false" customHeight="true" outlineLevel="0" collapsed="false">
      <c r="A24" s="1" t="s">
        <v>329</v>
      </c>
      <c r="B24" s="8" t="s">
        <v>330</v>
      </c>
      <c r="C24" s="8" t="s">
        <v>40</v>
      </c>
      <c r="D24" s="1" t="s">
        <v>316</v>
      </c>
      <c r="E24" s="8" t="s">
        <v>293</v>
      </c>
      <c r="F24" s="8" t="s">
        <v>317</v>
      </c>
      <c r="G24" s="8" t="s">
        <v>43</v>
      </c>
      <c r="H24" s="10" t="str">
        <f aca="false">HYPERLINK("https://item.taobao.com/item.htm?id=731471380840","打开订单商品")</f>
        <v>打开订单商品</v>
      </c>
      <c r="I24" s="10" t="str">
        <f aca="false">HYPERLINK("https://item.szlcsc.com/15331.html","查看工程型号")</f>
        <v>查看工程型号</v>
      </c>
      <c r="J24" s="8" t="s">
        <v>44</v>
      </c>
      <c r="K24" s="8" t="s">
        <v>295</v>
      </c>
    </row>
    <row r="25" customFormat="false" ht="64" hidden="false" customHeight="true" outlineLevel="0" collapsed="false">
      <c r="A25" s="1" t="s">
        <v>331</v>
      </c>
      <c r="B25" s="8" t="s">
        <v>332</v>
      </c>
      <c r="C25" s="8" t="s">
        <v>40</v>
      </c>
      <c r="D25" s="1" t="s">
        <v>316</v>
      </c>
      <c r="E25" s="8" t="s">
        <v>293</v>
      </c>
      <c r="F25" s="8" t="s">
        <v>317</v>
      </c>
      <c r="G25" s="8" t="s">
        <v>43</v>
      </c>
      <c r="H25" s="10" t="str">
        <f aca="false">HYPERLINK("https://item.taobao.com/item.htm?id=731471380840","打开订单商品")</f>
        <v>打开订单商品</v>
      </c>
      <c r="I25" s="10" t="str">
        <f aca="false">HYPERLINK("https://item.szlcsc.com/15331.html","查看工程型号")</f>
        <v>查看工程型号</v>
      </c>
      <c r="J25" s="8" t="s">
        <v>44</v>
      </c>
      <c r="K25" s="8" t="s">
        <v>295</v>
      </c>
    </row>
    <row r="26" customFormat="false" ht="64" hidden="false" customHeight="true" outlineLevel="0" collapsed="false">
      <c r="A26" s="1" t="s">
        <v>333</v>
      </c>
      <c r="B26" s="8" t="s">
        <v>334</v>
      </c>
      <c r="C26" s="8" t="s">
        <v>40</v>
      </c>
      <c r="D26" s="1" t="s">
        <v>316</v>
      </c>
      <c r="E26" s="8" t="s">
        <v>293</v>
      </c>
      <c r="F26" s="8" t="s">
        <v>317</v>
      </c>
      <c r="G26" s="8" t="s">
        <v>43</v>
      </c>
      <c r="H26" s="10" t="str">
        <f aca="false">HYPERLINK("https://item.taobao.com/item.htm?id=731471380840","打开订单商品")</f>
        <v>打开订单商品</v>
      </c>
      <c r="I26" s="10" t="str">
        <f aca="false">HYPERLINK("https://item.szlcsc.com/15331.html","查看工程型号")</f>
        <v>查看工程型号</v>
      </c>
      <c r="J26" s="8" t="s">
        <v>44</v>
      </c>
      <c r="K26" s="8" t="s">
        <v>295</v>
      </c>
    </row>
    <row r="27" customFormat="false" ht="64" hidden="false" customHeight="true" outlineLevel="0" collapsed="false">
      <c r="A27" s="1" t="s">
        <v>335</v>
      </c>
      <c r="B27" s="8" t="s">
        <v>336</v>
      </c>
      <c r="C27" s="8" t="s">
        <v>50</v>
      </c>
      <c r="D27" s="1" t="s">
        <v>337</v>
      </c>
      <c r="E27" s="8" t="s">
        <v>293</v>
      </c>
      <c r="F27" s="8" t="s">
        <v>338</v>
      </c>
      <c r="G27" s="8" t="s">
        <v>54</v>
      </c>
      <c r="H27" s="10" t="str">
        <f aca="false">HYPERLINK("https://item.taobao.com/item.htm?id=993202872551","打开订单商品")</f>
        <v>打开订单商品</v>
      </c>
      <c r="I27" s="10" t="str">
        <f aca="false">HYPERLINK("https://item.szlcsc.com/85589.html","查看工程型号")</f>
        <v>查看工程型号</v>
      </c>
      <c r="J27" s="8" t="s">
        <v>55</v>
      </c>
      <c r="K27" s="8" t="s">
        <v>295</v>
      </c>
    </row>
    <row r="28" customFormat="false" ht="64" hidden="false" customHeight="true" outlineLevel="0" collapsed="false">
      <c r="A28" s="1" t="s">
        <v>339</v>
      </c>
      <c r="B28" s="8" t="s">
        <v>336</v>
      </c>
      <c r="C28" s="8" t="s">
        <v>50</v>
      </c>
      <c r="D28" s="1" t="s">
        <v>337</v>
      </c>
      <c r="E28" s="8" t="s">
        <v>293</v>
      </c>
      <c r="F28" s="8" t="s">
        <v>338</v>
      </c>
      <c r="G28" s="8" t="s">
        <v>54</v>
      </c>
      <c r="H28" s="10" t="str">
        <f aca="false">HYPERLINK("https://item.taobao.com/item.htm?id=993202872551","打开订单商品")</f>
        <v>打开订单商品</v>
      </c>
      <c r="I28" s="10" t="str">
        <f aca="false">HYPERLINK("https://item.szlcsc.com/85589.html","查看工程型号")</f>
        <v>查看工程型号</v>
      </c>
      <c r="J28" s="8" t="s">
        <v>55</v>
      </c>
      <c r="K28" s="8" t="s">
        <v>295</v>
      </c>
    </row>
    <row r="29" customFormat="false" ht="64" hidden="false" customHeight="true" outlineLevel="0" collapsed="false">
      <c r="A29" s="1" t="s">
        <v>340</v>
      </c>
      <c r="B29" s="8" t="s">
        <v>341</v>
      </c>
      <c r="C29" s="8" t="s">
        <v>40</v>
      </c>
      <c r="D29" s="1" t="s">
        <v>316</v>
      </c>
      <c r="E29" s="8" t="s">
        <v>293</v>
      </c>
      <c r="F29" s="8" t="s">
        <v>317</v>
      </c>
      <c r="G29" s="8" t="s">
        <v>43</v>
      </c>
      <c r="H29" s="10" t="str">
        <f aca="false">HYPERLINK("https://item.taobao.com/item.htm?id=731471380840","打开订单商品")</f>
        <v>打开订单商品</v>
      </c>
      <c r="I29" s="10" t="str">
        <f aca="false">HYPERLINK("https://item.szlcsc.com/15331.html","查看工程型号")</f>
        <v>查看工程型号</v>
      </c>
      <c r="J29" s="8" t="s">
        <v>44</v>
      </c>
      <c r="K29" s="8" t="s">
        <v>295</v>
      </c>
    </row>
    <row r="30" customFormat="false" ht="64" hidden="false" customHeight="true" outlineLevel="0" collapsed="false">
      <c r="A30" s="1" t="s">
        <v>342</v>
      </c>
      <c r="B30" s="8" t="s">
        <v>301</v>
      </c>
      <c r="C30" s="8" t="s">
        <v>24</v>
      </c>
      <c r="D30" s="1" t="s">
        <v>292</v>
      </c>
      <c r="E30" s="8" t="s">
        <v>293</v>
      </c>
      <c r="F30" s="8" t="s">
        <v>294</v>
      </c>
      <c r="G30" s="8" t="s">
        <v>28</v>
      </c>
      <c r="H30" s="10" t="str">
        <f aca="false">HYPERLINK("https://item.taobao.com/item.htm?id=630712731066","打开订单商品")</f>
        <v>打开订单商品</v>
      </c>
      <c r="I30" s="10" t="str">
        <f aca="false">HYPERLINK("https://www.lcsc.com/product-detail/C128624.html","查看工程型号")</f>
        <v>查看工程型号</v>
      </c>
      <c r="J30" s="8" t="s">
        <v>29</v>
      </c>
      <c r="K30" s="8" t="s">
        <v>295</v>
      </c>
    </row>
    <row r="31" customFormat="false" ht="64" hidden="false" customHeight="true" outlineLevel="0" collapsed="false">
      <c r="A31" s="1" t="s">
        <v>343</v>
      </c>
      <c r="B31" s="8" t="s">
        <v>344</v>
      </c>
      <c r="C31" s="8" t="s">
        <v>40</v>
      </c>
      <c r="D31" s="1" t="s">
        <v>316</v>
      </c>
      <c r="E31" s="8" t="s">
        <v>293</v>
      </c>
      <c r="F31" s="8" t="s">
        <v>317</v>
      </c>
      <c r="G31" s="8" t="s">
        <v>43</v>
      </c>
      <c r="H31" s="10" t="str">
        <f aca="false">HYPERLINK("https://item.taobao.com/item.htm?id=731471380840","打开订单商品")</f>
        <v>打开订单商品</v>
      </c>
      <c r="I31" s="10" t="str">
        <f aca="false">HYPERLINK("https://item.szlcsc.com/15331.html","查看工程型号")</f>
        <v>查看工程型号</v>
      </c>
      <c r="J31" s="8" t="s">
        <v>44</v>
      </c>
      <c r="K31" s="8" t="s">
        <v>295</v>
      </c>
    </row>
    <row r="32" customFormat="false" ht="64" hidden="false" customHeight="true" outlineLevel="0" collapsed="false">
      <c r="A32" s="1" t="s">
        <v>345</v>
      </c>
      <c r="B32" s="8" t="s">
        <v>301</v>
      </c>
      <c r="C32" s="8" t="s">
        <v>24</v>
      </c>
      <c r="D32" s="1" t="s">
        <v>292</v>
      </c>
      <c r="E32" s="8" t="s">
        <v>293</v>
      </c>
      <c r="F32" s="8" t="s">
        <v>294</v>
      </c>
      <c r="G32" s="8" t="s">
        <v>28</v>
      </c>
      <c r="H32" s="10" t="str">
        <f aca="false">HYPERLINK("https://item.taobao.com/item.htm?id=630712731066","打开订单商品")</f>
        <v>打开订单商品</v>
      </c>
      <c r="I32" s="10" t="str">
        <f aca="false">HYPERLINK("https://www.lcsc.com/product-detail/C128624.html","查看工程型号")</f>
        <v>查看工程型号</v>
      </c>
      <c r="J32" s="8" t="s">
        <v>29</v>
      </c>
      <c r="K32" s="8" t="s">
        <v>295</v>
      </c>
    </row>
    <row r="33" customFormat="false" ht="64" hidden="false" customHeight="true" outlineLevel="0" collapsed="false">
      <c r="A33" s="1" t="s">
        <v>346</v>
      </c>
      <c r="B33" s="8" t="s">
        <v>344</v>
      </c>
      <c r="C33" s="8" t="s">
        <v>40</v>
      </c>
      <c r="D33" s="1" t="s">
        <v>316</v>
      </c>
      <c r="E33" s="8" t="s">
        <v>293</v>
      </c>
      <c r="F33" s="8" t="s">
        <v>317</v>
      </c>
      <c r="G33" s="8" t="s">
        <v>43</v>
      </c>
      <c r="H33" s="10" t="str">
        <f aca="false">HYPERLINK("https://item.taobao.com/item.htm?id=731471380840","打开订单商品")</f>
        <v>打开订单商品</v>
      </c>
      <c r="I33" s="10" t="str">
        <f aca="false">HYPERLINK("https://item.szlcsc.com/15331.html","查看工程型号")</f>
        <v>查看工程型号</v>
      </c>
      <c r="J33" s="8" t="s">
        <v>44</v>
      </c>
      <c r="K33" s="8" t="s">
        <v>295</v>
      </c>
    </row>
    <row r="34" customFormat="false" ht="64" hidden="false" customHeight="true" outlineLevel="0" collapsed="false">
      <c r="A34" s="1" t="s">
        <v>347</v>
      </c>
      <c r="B34" s="8" t="s">
        <v>301</v>
      </c>
      <c r="C34" s="8" t="s">
        <v>24</v>
      </c>
      <c r="D34" s="1" t="s">
        <v>292</v>
      </c>
      <c r="E34" s="8" t="s">
        <v>293</v>
      </c>
      <c r="F34" s="8" t="s">
        <v>294</v>
      </c>
      <c r="G34" s="8" t="s">
        <v>28</v>
      </c>
      <c r="H34" s="10" t="str">
        <f aca="false">HYPERLINK("https://item.taobao.com/item.htm?id=630712731066","打开订单商品")</f>
        <v>打开订单商品</v>
      </c>
      <c r="I34" s="10" t="str">
        <f aca="false">HYPERLINK("https://www.lcsc.com/product-detail/C128624.html","查看工程型号")</f>
        <v>查看工程型号</v>
      </c>
      <c r="J34" s="8" t="s">
        <v>29</v>
      </c>
      <c r="K34" s="8" t="s">
        <v>295</v>
      </c>
    </row>
    <row r="35" customFormat="false" ht="64" hidden="false" customHeight="true" outlineLevel="0" collapsed="false">
      <c r="A35" s="1" t="s">
        <v>348</v>
      </c>
      <c r="B35" s="8" t="s">
        <v>344</v>
      </c>
      <c r="C35" s="8" t="s">
        <v>40</v>
      </c>
      <c r="D35" s="1" t="s">
        <v>316</v>
      </c>
      <c r="E35" s="8" t="s">
        <v>293</v>
      </c>
      <c r="F35" s="8" t="s">
        <v>317</v>
      </c>
      <c r="G35" s="8" t="s">
        <v>43</v>
      </c>
      <c r="H35" s="10" t="str">
        <f aca="false">HYPERLINK("https://item.taobao.com/item.htm?id=731471380840","打开订单商品")</f>
        <v>打开订单商品</v>
      </c>
      <c r="I35" s="10" t="str">
        <f aca="false">HYPERLINK("https://item.szlcsc.com/15331.html","查看工程型号")</f>
        <v>查看工程型号</v>
      </c>
      <c r="J35" s="8" t="s">
        <v>44</v>
      </c>
      <c r="K35" s="8" t="s">
        <v>295</v>
      </c>
    </row>
    <row r="36" customFormat="false" ht="64" hidden="false" customHeight="true" outlineLevel="0" collapsed="false">
      <c r="A36" s="1" t="s">
        <v>349</v>
      </c>
      <c r="B36" s="8" t="s">
        <v>301</v>
      </c>
      <c r="C36" s="8" t="s">
        <v>24</v>
      </c>
      <c r="D36" s="1" t="s">
        <v>292</v>
      </c>
      <c r="E36" s="8" t="s">
        <v>293</v>
      </c>
      <c r="F36" s="8" t="s">
        <v>294</v>
      </c>
      <c r="G36" s="8" t="s">
        <v>28</v>
      </c>
      <c r="H36" s="10" t="str">
        <f aca="false">HYPERLINK("https://item.taobao.com/item.htm?id=630712731066","打开订单商品")</f>
        <v>打开订单商品</v>
      </c>
      <c r="I36" s="10" t="str">
        <f aca="false">HYPERLINK("https://www.lcsc.com/product-detail/C128624.html","查看工程型号")</f>
        <v>查看工程型号</v>
      </c>
      <c r="J36" s="8" t="s">
        <v>29</v>
      </c>
      <c r="K36" s="8" t="s">
        <v>295</v>
      </c>
    </row>
    <row r="37" customFormat="false" ht="64" hidden="false" customHeight="true" outlineLevel="0" collapsed="false">
      <c r="A37" s="1" t="s">
        <v>58</v>
      </c>
      <c r="B37" s="8" t="s">
        <v>350</v>
      </c>
      <c r="C37" s="8" t="s">
        <v>56</v>
      </c>
      <c r="D37" s="1" t="s">
        <v>351</v>
      </c>
      <c r="E37" s="8" t="s">
        <v>293</v>
      </c>
      <c r="F37" s="8" t="s">
        <v>352</v>
      </c>
      <c r="G37" s="8" t="s">
        <v>60</v>
      </c>
      <c r="H37" s="10" t="str">
        <f aca="false">HYPERLINK("https://item.taobao.com/item.htm?id=610558214623","打开订单商品")</f>
        <v>打开订单商品</v>
      </c>
      <c r="I37" s="10" t="str">
        <f aca="false">HYPERLINK("https://item.szlcsc.com/101256.html","查看工程型号")</f>
        <v>查看工程型号</v>
      </c>
      <c r="J37" s="8" t="s">
        <v>61</v>
      </c>
      <c r="K37" s="8" t="s">
        <v>295</v>
      </c>
    </row>
    <row r="38" customFormat="false" ht="64" hidden="false" customHeight="true" outlineLevel="0" collapsed="false">
      <c r="A38" s="1" t="s">
        <v>353</v>
      </c>
      <c r="B38" s="8" t="s">
        <v>301</v>
      </c>
      <c r="C38" s="8" t="s">
        <v>24</v>
      </c>
      <c r="D38" s="1" t="s">
        <v>292</v>
      </c>
      <c r="E38" s="8" t="s">
        <v>293</v>
      </c>
      <c r="F38" s="8" t="s">
        <v>294</v>
      </c>
      <c r="G38" s="8" t="s">
        <v>28</v>
      </c>
      <c r="H38" s="10" t="str">
        <f aca="false">HYPERLINK("https://item.taobao.com/item.htm?id=630712731066","打开订单商品")</f>
        <v>打开订单商品</v>
      </c>
      <c r="I38" s="10" t="str">
        <f aca="false">HYPERLINK("https://www.lcsc.com/product-detail/C128624.html","查看工程型号")</f>
        <v>查看工程型号</v>
      </c>
      <c r="J38" s="8" t="s">
        <v>29</v>
      </c>
      <c r="K38" s="8" t="s">
        <v>295</v>
      </c>
    </row>
    <row r="39" customFormat="false" ht="64" hidden="false" customHeight="true" outlineLevel="0" collapsed="false">
      <c r="A39" s="1" t="s">
        <v>354</v>
      </c>
      <c r="B39" s="8" t="s">
        <v>344</v>
      </c>
      <c r="C39" s="8" t="s">
        <v>40</v>
      </c>
      <c r="D39" s="1" t="s">
        <v>316</v>
      </c>
      <c r="E39" s="8" t="s">
        <v>293</v>
      </c>
      <c r="F39" s="8" t="s">
        <v>317</v>
      </c>
      <c r="G39" s="8" t="s">
        <v>43</v>
      </c>
      <c r="H39" s="10" t="str">
        <f aca="false">HYPERLINK("https://item.taobao.com/item.htm?id=731471380840","打开订单商品")</f>
        <v>打开订单商品</v>
      </c>
      <c r="I39" s="10" t="str">
        <f aca="false">HYPERLINK("https://item.szlcsc.com/15331.html","查看工程型号")</f>
        <v>查看工程型号</v>
      </c>
      <c r="J39" s="8" t="s">
        <v>44</v>
      </c>
      <c r="K39" s="8" t="s">
        <v>295</v>
      </c>
    </row>
    <row r="40" customFormat="false" ht="64" hidden="false" customHeight="true" outlineLevel="0" collapsed="false">
      <c r="A40" s="1" t="s">
        <v>355</v>
      </c>
      <c r="B40" s="8" t="s">
        <v>321</v>
      </c>
      <c r="C40" s="8" t="s">
        <v>30</v>
      </c>
      <c r="D40" s="1" t="s">
        <v>304</v>
      </c>
      <c r="E40" s="8" t="s">
        <v>293</v>
      </c>
      <c r="F40" s="8" t="s">
        <v>305</v>
      </c>
      <c r="G40" s="8" t="s">
        <v>33</v>
      </c>
      <c r="H40" s="10" t="str">
        <f aca="false">HYPERLINK("https://item.taobao.com/item.htm?id=630712731066","打开订单商品")</f>
        <v>打开订单商品</v>
      </c>
      <c r="I40" s="10" t="str">
        <f aca="false">HYPERLINK("https://item.szlcsc.com/77735.html","查看工程型号")</f>
        <v>查看工程型号</v>
      </c>
      <c r="J40" s="8" t="s">
        <v>34</v>
      </c>
      <c r="K40" s="8" t="s">
        <v>295</v>
      </c>
    </row>
    <row r="41" customFormat="false" ht="64" hidden="false" customHeight="true" outlineLevel="0" collapsed="false">
      <c r="A41" s="1" t="s">
        <v>356</v>
      </c>
      <c r="B41" s="8" t="s">
        <v>357</v>
      </c>
      <c r="C41" s="8" t="s">
        <v>40</v>
      </c>
      <c r="D41" s="1" t="s">
        <v>316</v>
      </c>
      <c r="E41" s="8" t="s">
        <v>293</v>
      </c>
      <c r="F41" s="8" t="s">
        <v>317</v>
      </c>
      <c r="G41" s="8" t="s">
        <v>43</v>
      </c>
      <c r="H41" s="10" t="str">
        <f aca="false">HYPERLINK("https://item.taobao.com/item.htm?id=731471380840","打开订单商品")</f>
        <v>打开订单商品</v>
      </c>
      <c r="I41" s="10" t="str">
        <f aca="false">HYPERLINK("https://item.szlcsc.com/15331.html","查看工程型号")</f>
        <v>查看工程型号</v>
      </c>
      <c r="J41" s="8" t="s">
        <v>44</v>
      </c>
      <c r="K41" s="8" t="s">
        <v>295</v>
      </c>
    </row>
    <row r="42" customFormat="false" ht="64" hidden="false" customHeight="true" outlineLevel="0" collapsed="false">
      <c r="A42" s="1" t="s">
        <v>358</v>
      </c>
      <c r="B42" s="8" t="s">
        <v>359</v>
      </c>
      <c r="C42" s="8" t="s">
        <v>40</v>
      </c>
      <c r="D42" s="1" t="s">
        <v>316</v>
      </c>
      <c r="E42" s="8" t="s">
        <v>293</v>
      </c>
      <c r="F42" s="8" t="s">
        <v>317</v>
      </c>
      <c r="G42" s="8" t="s">
        <v>43</v>
      </c>
      <c r="H42" s="10" t="str">
        <f aca="false">HYPERLINK("https://item.taobao.com/item.htm?id=731471380840","打开订单商品")</f>
        <v>打开订单商品</v>
      </c>
      <c r="I42" s="10" t="str">
        <f aca="false">HYPERLINK("https://item.szlcsc.com/15331.html","查看工程型号")</f>
        <v>查看工程型号</v>
      </c>
      <c r="J42" s="8" t="s">
        <v>44</v>
      </c>
      <c r="K42" s="8" t="s">
        <v>295</v>
      </c>
    </row>
    <row r="43" customFormat="false" ht="64" hidden="false" customHeight="true" outlineLevel="0" collapsed="false">
      <c r="A43" s="1" t="s">
        <v>360</v>
      </c>
      <c r="B43" s="8" t="s">
        <v>361</v>
      </c>
      <c r="C43" s="8" t="s">
        <v>24</v>
      </c>
      <c r="D43" s="1" t="s">
        <v>292</v>
      </c>
      <c r="E43" s="8" t="s">
        <v>293</v>
      </c>
      <c r="F43" s="8" t="s">
        <v>294</v>
      </c>
      <c r="G43" s="8" t="s">
        <v>28</v>
      </c>
      <c r="H43" s="10" t="str">
        <f aca="false">HYPERLINK("https://item.taobao.com/item.htm?id=630712731066","打开订单商品")</f>
        <v>打开订单商品</v>
      </c>
      <c r="I43" s="10" t="str">
        <f aca="false">HYPERLINK("https://www.lcsc.com/product-detail/C128624.html","查看工程型号")</f>
        <v>查看工程型号</v>
      </c>
      <c r="J43" s="8" t="s">
        <v>29</v>
      </c>
      <c r="K43" s="8" t="s">
        <v>295</v>
      </c>
    </row>
    <row r="44" customFormat="false" ht="64" hidden="false" customHeight="true" outlineLevel="0" collapsed="false">
      <c r="A44" s="1" t="s">
        <v>362</v>
      </c>
      <c r="B44" s="8" t="s">
        <v>363</v>
      </c>
      <c r="C44" s="8" t="s">
        <v>24</v>
      </c>
      <c r="D44" s="1" t="s">
        <v>292</v>
      </c>
      <c r="E44" s="8" t="s">
        <v>293</v>
      </c>
      <c r="F44" s="8" t="s">
        <v>294</v>
      </c>
      <c r="G44" s="8" t="s">
        <v>28</v>
      </c>
      <c r="H44" s="10" t="str">
        <f aca="false">HYPERLINK("https://item.taobao.com/item.htm?id=630712731066","打开订单商品")</f>
        <v>打开订单商品</v>
      </c>
      <c r="I44" s="10" t="str">
        <f aca="false">HYPERLINK("https://www.lcsc.com/product-detail/C128624.html","查看工程型号")</f>
        <v>查看工程型号</v>
      </c>
      <c r="J44" s="8" t="s">
        <v>29</v>
      </c>
      <c r="K44" s="8" t="s">
        <v>295</v>
      </c>
    </row>
    <row r="45" customFormat="false" ht="64" hidden="false" customHeight="true" outlineLevel="0" collapsed="false">
      <c r="A45" s="1" t="s">
        <v>364</v>
      </c>
      <c r="B45" s="8" t="s">
        <v>365</v>
      </c>
      <c r="C45" s="8" t="s">
        <v>24</v>
      </c>
      <c r="D45" s="1" t="s">
        <v>292</v>
      </c>
      <c r="E45" s="8" t="s">
        <v>293</v>
      </c>
      <c r="F45" s="8" t="s">
        <v>294</v>
      </c>
      <c r="G45" s="8" t="s">
        <v>28</v>
      </c>
      <c r="H45" s="10" t="str">
        <f aca="false">HYPERLINK("https://item.taobao.com/item.htm?id=630712731066","打开订单商品")</f>
        <v>打开订单商品</v>
      </c>
      <c r="I45" s="10" t="str">
        <f aca="false">HYPERLINK("https://www.lcsc.com/product-detail/C128624.html","查看工程型号")</f>
        <v>查看工程型号</v>
      </c>
      <c r="J45" s="8" t="s">
        <v>29</v>
      </c>
      <c r="K45" s="8" t="s">
        <v>295</v>
      </c>
    </row>
    <row r="46" customFormat="false" ht="64" hidden="false" customHeight="true" outlineLevel="0" collapsed="false">
      <c r="A46" s="1" t="s">
        <v>366</v>
      </c>
      <c r="B46" s="8" t="s">
        <v>365</v>
      </c>
      <c r="C46" s="8" t="s">
        <v>24</v>
      </c>
      <c r="D46" s="1" t="s">
        <v>292</v>
      </c>
      <c r="E46" s="8" t="s">
        <v>293</v>
      </c>
      <c r="F46" s="8" t="s">
        <v>294</v>
      </c>
      <c r="G46" s="8" t="s">
        <v>28</v>
      </c>
      <c r="H46" s="10" t="str">
        <f aca="false">HYPERLINK("https://item.taobao.com/item.htm?id=630712731066","打开订单商品")</f>
        <v>打开订单商品</v>
      </c>
      <c r="I46" s="10" t="str">
        <f aca="false">HYPERLINK("https://www.lcsc.com/product-detail/C128624.html","查看工程型号")</f>
        <v>查看工程型号</v>
      </c>
      <c r="J46" s="8" t="s">
        <v>29</v>
      </c>
      <c r="K46" s="8" t="s">
        <v>295</v>
      </c>
    </row>
    <row r="47" customFormat="false" ht="64" hidden="false" customHeight="true" outlineLevel="0" collapsed="false">
      <c r="A47" s="1" t="s">
        <v>65</v>
      </c>
      <c r="B47" s="8" t="s">
        <v>367</v>
      </c>
      <c r="C47" s="8" t="s">
        <v>63</v>
      </c>
      <c r="D47" s="1" t="s">
        <v>368</v>
      </c>
      <c r="E47" s="8" t="s">
        <v>369</v>
      </c>
      <c r="F47" s="8" t="s">
        <v>370</v>
      </c>
      <c r="G47" s="8" t="s">
        <v>67</v>
      </c>
      <c r="H47" s="10" t="str">
        <f aca="false">HYPERLINK("https://item.taobao.com/item.htm?id=793455311175","打开订单商品")</f>
        <v>打开订单商品</v>
      </c>
      <c r="I47" s="10" t="str">
        <f aca="false">HYPERLINK("https://item.szlcsc.com/79742.html","查看工程型号")</f>
        <v>查看工程型号</v>
      </c>
      <c r="J47" s="8" t="s">
        <v>68</v>
      </c>
      <c r="K47" s="8" t="s">
        <v>295</v>
      </c>
    </row>
    <row r="48" customFormat="false" ht="64" hidden="false" customHeight="true" outlineLevel="0" collapsed="false">
      <c r="A48" s="1" t="s">
        <v>71</v>
      </c>
      <c r="B48" s="8" t="s">
        <v>371</v>
      </c>
      <c r="C48" s="8" t="s">
        <v>69</v>
      </c>
      <c r="D48" s="1" t="s">
        <v>372</v>
      </c>
      <c r="E48" s="8" t="s">
        <v>373</v>
      </c>
      <c r="F48" s="8" t="s">
        <v>374</v>
      </c>
      <c r="G48" s="8" t="s">
        <v>73</v>
      </c>
      <c r="H48" s="10" t="str">
        <f aca="false">HYPERLINK("https://item.taobao.com/item.htm?id=943185002457","打开订单商品")</f>
        <v>打开订单商品</v>
      </c>
      <c r="I48" s="10" t="str">
        <f aca="false">HYPERLINK("https://item.szlcsc.com/162688.html","查看工程型号")</f>
        <v>查看工程型号</v>
      </c>
      <c r="J48" s="8" t="s">
        <v>74</v>
      </c>
      <c r="K48" s="8" t="s">
        <v>295</v>
      </c>
    </row>
    <row r="49" customFormat="false" ht="64" hidden="false" customHeight="true" outlineLevel="0" collapsed="false">
      <c r="A49" s="1" t="s">
        <v>78</v>
      </c>
      <c r="B49" s="8" t="s">
        <v>375</v>
      </c>
      <c r="C49" s="8" t="s">
        <v>76</v>
      </c>
      <c r="D49" s="1" t="s">
        <v>376</v>
      </c>
      <c r="E49" s="8" t="s">
        <v>293</v>
      </c>
      <c r="F49" s="8" t="s">
        <v>377</v>
      </c>
      <c r="G49" s="8" t="s">
        <v>80</v>
      </c>
      <c r="H49" s="10" t="str">
        <f aca="false">HYPERLINK("https://item.taobao.com/item.htm?id=931081429973","打开订单商品")</f>
        <v>打开订单商品</v>
      </c>
      <c r="I49" s="10" t="str">
        <f aca="false">HYPERLINK("https://item.szlcsc.com/87009.html","查看工程型号")</f>
        <v>查看工程型号</v>
      </c>
      <c r="J49" s="8" t="s">
        <v>81</v>
      </c>
      <c r="K49" s="8" t="s">
        <v>295</v>
      </c>
    </row>
    <row r="50" customFormat="false" ht="64" hidden="false" customHeight="true" outlineLevel="0" collapsed="false">
      <c r="A50" s="1" t="s">
        <v>378</v>
      </c>
      <c r="B50" s="8" t="s">
        <v>379</v>
      </c>
      <c r="C50" s="8" t="s">
        <v>82</v>
      </c>
      <c r="D50" s="1" t="s">
        <v>380</v>
      </c>
      <c r="E50" s="8" t="s">
        <v>293</v>
      </c>
      <c r="F50" s="8" t="s">
        <v>381</v>
      </c>
      <c r="G50" s="8" t="s">
        <v>85</v>
      </c>
      <c r="H50" s="10" t="str">
        <f aca="false">HYPERLINK("https://item.taobao.com/item.htm?id=931081429973","打开订单商品")</f>
        <v>打开订单商品</v>
      </c>
      <c r="I50" s="10" t="str">
        <f aca="false">HYPERLINK("https://item.szlcsc.com/2753383.html","查看工程型号")</f>
        <v>查看工程型号</v>
      </c>
      <c r="J50" s="8" t="s">
        <v>86</v>
      </c>
      <c r="K50" s="8" t="s">
        <v>295</v>
      </c>
    </row>
    <row r="51" customFormat="false" ht="64" hidden="false" customHeight="true" outlineLevel="0" collapsed="false">
      <c r="A51" s="1" t="s">
        <v>382</v>
      </c>
      <c r="B51" s="8" t="s">
        <v>379</v>
      </c>
      <c r="C51" s="8" t="s">
        <v>82</v>
      </c>
      <c r="D51" s="1" t="s">
        <v>380</v>
      </c>
      <c r="E51" s="8" t="s">
        <v>293</v>
      </c>
      <c r="F51" s="8" t="s">
        <v>381</v>
      </c>
      <c r="G51" s="8" t="s">
        <v>85</v>
      </c>
      <c r="H51" s="10" t="str">
        <f aca="false">HYPERLINK("https://item.taobao.com/item.htm?id=931081429973","打开订单商品")</f>
        <v>打开订单商品</v>
      </c>
      <c r="I51" s="10" t="str">
        <f aca="false">HYPERLINK("https://item.szlcsc.com/2753383.html","查看工程型号")</f>
        <v>查看工程型号</v>
      </c>
      <c r="J51" s="8" t="s">
        <v>86</v>
      </c>
      <c r="K51" s="8" t="s">
        <v>295</v>
      </c>
    </row>
    <row r="52" customFormat="false" ht="64" hidden="false" customHeight="true" outlineLevel="0" collapsed="false">
      <c r="A52" s="1" t="s">
        <v>108</v>
      </c>
      <c r="B52" s="8" t="s">
        <v>383</v>
      </c>
      <c r="C52" s="8" t="s">
        <v>88</v>
      </c>
      <c r="D52" s="1" t="s">
        <v>384</v>
      </c>
      <c r="E52" s="8" t="s">
        <v>385</v>
      </c>
      <c r="F52" s="8" t="s">
        <v>386</v>
      </c>
      <c r="G52" s="8" t="s">
        <v>92</v>
      </c>
      <c r="H52" s="10" t="str">
        <f aca="false">HYPERLINK("https://item.taobao.com/item.htm?id=832569969546","打开订单商品")</f>
        <v>打开订单商品</v>
      </c>
      <c r="I52" s="10" t="str">
        <f aca="false">HYPERLINK("https://item.szlcsc.com/171642.html","查看工程型号")</f>
        <v>查看工程型号</v>
      </c>
      <c r="J52" s="8" t="s">
        <v>93</v>
      </c>
      <c r="K52" s="8" t="s">
        <v>295</v>
      </c>
    </row>
    <row r="53" customFormat="false" ht="64" hidden="false" customHeight="true" outlineLevel="0" collapsed="false">
      <c r="A53" s="1" t="s">
        <v>238</v>
      </c>
      <c r="B53" s="8" t="s">
        <v>387</v>
      </c>
      <c r="C53" s="8" t="s">
        <v>88</v>
      </c>
      <c r="D53" s="1" t="s">
        <v>384</v>
      </c>
      <c r="E53" s="8" t="s">
        <v>385</v>
      </c>
      <c r="F53" s="8" t="s">
        <v>386</v>
      </c>
      <c r="G53" s="8" t="s">
        <v>92</v>
      </c>
      <c r="H53" s="10" t="str">
        <f aca="false">HYPERLINK("https://item.taobao.com/item.htm?id=832569969546","打开订单商品")</f>
        <v>打开订单商品</v>
      </c>
      <c r="I53" s="10" t="str">
        <f aca="false">HYPERLINK("https://item.szlcsc.com/171642.html","查看工程型号")</f>
        <v>查看工程型号</v>
      </c>
      <c r="J53" s="8" t="s">
        <v>93</v>
      </c>
      <c r="K53" s="8" t="s">
        <v>295</v>
      </c>
    </row>
    <row r="54" customFormat="false" ht="64" hidden="false" customHeight="true" outlineLevel="0" collapsed="false">
      <c r="A54" s="1" t="s">
        <v>96</v>
      </c>
      <c r="B54" s="8" t="s">
        <v>388</v>
      </c>
      <c r="C54" s="8" t="s">
        <v>94</v>
      </c>
      <c r="D54" s="1" t="s">
        <v>389</v>
      </c>
      <c r="E54" s="8" t="s">
        <v>390</v>
      </c>
      <c r="F54" s="8" t="s">
        <v>391</v>
      </c>
      <c r="G54" s="8" t="s">
        <v>98</v>
      </c>
      <c r="H54" s="10" t="str">
        <f aca="false">HYPERLINK("https://item.taobao.com/item.htm?id=533725557959","打开订单商品")</f>
        <v>打开订单商品</v>
      </c>
      <c r="I54" s="10" t="str">
        <f aca="false">HYPERLINK("https://item.szlcsc.com/2784386.html","查看工程型号")</f>
        <v>查看工程型号</v>
      </c>
      <c r="J54" s="8" t="s">
        <v>99</v>
      </c>
      <c r="K54" s="8" t="s">
        <v>295</v>
      </c>
    </row>
    <row r="55" customFormat="false" ht="64" hidden="false" customHeight="true" outlineLevel="0" collapsed="false">
      <c r="A55" s="1" t="s">
        <v>102</v>
      </c>
      <c r="B55" s="8" t="s">
        <v>392</v>
      </c>
      <c r="C55" s="8" t="s">
        <v>100</v>
      </c>
      <c r="D55" s="1" t="s">
        <v>393</v>
      </c>
      <c r="E55" s="8" t="s">
        <v>394</v>
      </c>
      <c r="F55" s="8" t="s">
        <v>395</v>
      </c>
      <c r="G55" s="8" t="s">
        <v>104</v>
      </c>
      <c r="H55" s="10" t="str">
        <f aca="false">HYPERLINK("https://item.taobao.com/item.htm?id=920058690376","打开订单商品")</f>
        <v>打开订单商品</v>
      </c>
      <c r="I55" s="10" t="str">
        <f aca="false">HYPERLINK("https://item.szlcsc.com/171770.html","查看工程型号")</f>
        <v>查看工程型号</v>
      </c>
      <c r="J55" s="8" t="s">
        <v>105</v>
      </c>
      <c r="K55" s="8" t="s">
        <v>295</v>
      </c>
    </row>
    <row r="56" customFormat="false" ht="64" hidden="false" customHeight="true" outlineLevel="0" collapsed="false">
      <c r="A56" s="1" t="s">
        <v>396</v>
      </c>
      <c r="B56" s="8" t="s">
        <v>397</v>
      </c>
      <c r="C56" s="8" t="s">
        <v>88</v>
      </c>
      <c r="D56" s="1" t="s">
        <v>384</v>
      </c>
      <c r="E56" s="8" t="s">
        <v>385</v>
      </c>
      <c r="F56" s="8" t="s">
        <v>386</v>
      </c>
      <c r="G56" s="8" t="s">
        <v>92</v>
      </c>
      <c r="H56" s="10" t="str">
        <f aca="false">HYPERLINK("https://item.taobao.com/item.htm?id=832569969546","打开订单商品")</f>
        <v>打开订单商品</v>
      </c>
      <c r="I56" s="10" t="str">
        <f aca="false">HYPERLINK("https://item.szlcsc.com/171642.html","查看工程型号")</f>
        <v>查看工程型号</v>
      </c>
      <c r="J56" s="8" t="s">
        <v>93</v>
      </c>
      <c r="K56" s="8" t="s">
        <v>295</v>
      </c>
    </row>
    <row r="57" customFormat="false" ht="64" hidden="false" customHeight="true" outlineLevel="0" collapsed="false">
      <c r="A57" s="1" t="s">
        <v>398</v>
      </c>
      <c r="B57" s="8" t="s">
        <v>399</v>
      </c>
      <c r="C57" s="8" t="s">
        <v>106</v>
      </c>
      <c r="D57" s="1" t="s">
        <v>400</v>
      </c>
      <c r="E57" s="8" t="s">
        <v>385</v>
      </c>
      <c r="F57" s="8" t="s">
        <v>386</v>
      </c>
      <c r="G57" s="8" t="s">
        <v>109</v>
      </c>
      <c r="H57" s="10" t="str">
        <f aca="false">HYPERLINK("https://item.taobao.com/item.htm?id=832569969546","打开订单商品")</f>
        <v>打开订单商品</v>
      </c>
      <c r="I57" s="10" t="str">
        <f aca="false">HYPERLINK("https://item.szlcsc.com/171639.html","查看工程型号")</f>
        <v>查看工程型号</v>
      </c>
      <c r="J57" s="8" t="s">
        <v>110</v>
      </c>
      <c r="K57" s="8" t="s">
        <v>295</v>
      </c>
    </row>
    <row r="58" customFormat="false" ht="64" hidden="false" customHeight="true" outlineLevel="0" collapsed="false">
      <c r="A58" s="1" t="s">
        <v>401</v>
      </c>
      <c r="B58" s="8" t="s">
        <v>399</v>
      </c>
      <c r="C58" s="8" t="s">
        <v>106</v>
      </c>
      <c r="D58" s="1" t="s">
        <v>400</v>
      </c>
      <c r="E58" s="8" t="s">
        <v>385</v>
      </c>
      <c r="F58" s="8" t="s">
        <v>386</v>
      </c>
      <c r="G58" s="8" t="s">
        <v>109</v>
      </c>
      <c r="H58" s="10" t="str">
        <f aca="false">HYPERLINK("https://item.taobao.com/item.htm?id=832569969546","打开订单商品")</f>
        <v>打开订单商品</v>
      </c>
      <c r="I58" s="10" t="str">
        <f aca="false">HYPERLINK("https://item.szlcsc.com/171639.html","查看工程型号")</f>
        <v>查看工程型号</v>
      </c>
      <c r="J58" s="8" t="s">
        <v>110</v>
      </c>
      <c r="K58" s="8" t="s">
        <v>295</v>
      </c>
    </row>
    <row r="59" customFormat="false" ht="64" hidden="false" customHeight="true" outlineLevel="0" collapsed="false">
      <c r="A59" s="1" t="s">
        <v>114</v>
      </c>
      <c r="B59" s="8" t="s">
        <v>402</v>
      </c>
      <c r="C59" s="8" t="s">
        <v>112</v>
      </c>
      <c r="D59" s="1" t="s">
        <v>403</v>
      </c>
      <c r="E59" s="8" t="s">
        <v>404</v>
      </c>
      <c r="F59" s="8" t="s">
        <v>405</v>
      </c>
      <c r="G59" s="8" t="s">
        <v>116</v>
      </c>
      <c r="H59" s="10" t="str">
        <f aca="false">HYPERLINK("https://item.taobao.com/item.htm?id=598174251748","打开订单商品")</f>
        <v>打开订单商品</v>
      </c>
      <c r="I59" s="10" t="str">
        <f aca="false">HYPERLINK("https://item.szlcsc.com/58286.html","查看工程型号")</f>
        <v>查看工程型号</v>
      </c>
      <c r="J59" s="8" t="s">
        <v>117</v>
      </c>
      <c r="K59" s="8" t="s">
        <v>295</v>
      </c>
    </row>
    <row r="60" customFormat="false" ht="64" hidden="false" customHeight="true" outlineLevel="0" collapsed="false">
      <c r="A60" s="1" t="s">
        <v>121</v>
      </c>
      <c r="B60" s="8" t="s">
        <v>406</v>
      </c>
      <c r="C60" s="8" t="s">
        <v>119</v>
      </c>
      <c r="D60" s="1" t="s">
        <v>407</v>
      </c>
      <c r="E60" s="8" t="s">
        <v>408</v>
      </c>
      <c r="F60" s="8" t="s">
        <v>409</v>
      </c>
      <c r="G60" s="8" t="s">
        <v>123</v>
      </c>
      <c r="H60" s="10" t="str">
        <f aca="false">HYPERLINK("https://item.taobao.com/item.htm?id=996702312391","打开订单商品")</f>
        <v>打开订单商品</v>
      </c>
      <c r="I60" s="10" t="str">
        <f aca="false">HYPERLINK("https://item.szlcsc.com/8705873.html","查看工程型号")</f>
        <v>查看工程型号</v>
      </c>
      <c r="J60" s="8" t="s">
        <v>124</v>
      </c>
      <c r="K60" s="8" t="s">
        <v>295</v>
      </c>
    </row>
    <row r="61" customFormat="false" ht="64" hidden="false" customHeight="true" outlineLevel="0" collapsed="false">
      <c r="A61" s="1" t="s">
        <v>127</v>
      </c>
      <c r="B61" s="8" t="s">
        <v>410</v>
      </c>
      <c r="C61" s="8" t="s">
        <v>125</v>
      </c>
      <c r="D61" s="1" t="s">
        <v>411</v>
      </c>
      <c r="E61" s="8" t="s">
        <v>412</v>
      </c>
      <c r="F61" s="8" t="s">
        <v>413</v>
      </c>
      <c r="G61" s="8" t="s">
        <v>128</v>
      </c>
      <c r="H61" s="10" t="str">
        <f aca="false">HYPERLINK("https://item.taobao.com/item.htm?id=944306254140","打开订单商品")</f>
        <v>打开订单商品</v>
      </c>
      <c r="I61" s="10" t="str">
        <f aca="false">HYPERLINK("https://item.szlcsc.com/774233.html","查看工程型号")</f>
        <v>查看工程型号</v>
      </c>
      <c r="J61" s="8" t="s">
        <v>129</v>
      </c>
      <c r="K61" s="8" t="s">
        <v>295</v>
      </c>
    </row>
    <row r="62" customFormat="false" ht="64" hidden="false" customHeight="true" outlineLevel="0" collapsed="false">
      <c r="A62" s="1" t="s">
        <v>132</v>
      </c>
      <c r="B62" s="8" t="s">
        <v>414</v>
      </c>
      <c r="C62" s="8" t="s">
        <v>130</v>
      </c>
      <c r="D62" s="1" t="s">
        <v>415</v>
      </c>
      <c r="E62" s="8" t="s">
        <v>412</v>
      </c>
      <c r="F62" s="8" t="s">
        <v>416</v>
      </c>
      <c r="G62" s="8" t="s">
        <v>134</v>
      </c>
      <c r="H62" s="10" t="str">
        <f aca="false">HYPERLINK("https://item.taobao.com/item.htm?id=909264246006","打开订单商品")</f>
        <v>打开订单商品</v>
      </c>
      <c r="I62" s="10" t="str">
        <f aca="false">HYPERLINK("https://item.szlcsc.com/153849.html","查看工程型号")</f>
        <v>查看工程型号</v>
      </c>
      <c r="J62" s="8" t="s">
        <v>135</v>
      </c>
      <c r="K62" s="8" t="s">
        <v>295</v>
      </c>
    </row>
    <row r="63" customFormat="false" ht="64" hidden="false" customHeight="true" outlineLevel="0" collapsed="false">
      <c r="A63" s="1" t="s">
        <v>147</v>
      </c>
      <c r="B63" s="8" t="s">
        <v>417</v>
      </c>
      <c r="C63" s="8" t="s">
        <v>137</v>
      </c>
      <c r="D63" s="1" t="s">
        <v>418</v>
      </c>
      <c r="E63" s="8" t="s">
        <v>293</v>
      </c>
      <c r="F63" s="8" t="s">
        <v>419</v>
      </c>
      <c r="G63" s="8" t="s">
        <v>142</v>
      </c>
      <c r="H63" s="10" t="str">
        <f aca="false">HYPERLINK("https://item.taobao.com/item.htm?id=947267344247","打开订单商品")</f>
        <v>打开订单商品</v>
      </c>
      <c r="I63" s="10" t="str">
        <f aca="false">HYPERLINK("https://item.szlcsc.com/99429.html","查看工程型号")</f>
        <v>查看工程型号</v>
      </c>
      <c r="J63" s="8" t="s">
        <v>143</v>
      </c>
      <c r="K63" s="8" t="s">
        <v>295</v>
      </c>
    </row>
    <row r="64" customFormat="false" ht="64" hidden="false" customHeight="true" outlineLevel="0" collapsed="false">
      <c r="A64" s="1" t="s">
        <v>420</v>
      </c>
      <c r="B64" s="8" t="s">
        <v>421</v>
      </c>
      <c r="C64" s="8" t="s">
        <v>137</v>
      </c>
      <c r="D64" s="1" t="s">
        <v>418</v>
      </c>
      <c r="E64" s="8" t="s">
        <v>293</v>
      </c>
      <c r="F64" s="8" t="s">
        <v>419</v>
      </c>
      <c r="G64" s="8" t="s">
        <v>142</v>
      </c>
      <c r="H64" s="10" t="str">
        <f aca="false">HYPERLINK("https://item.taobao.com/item.htm?id=947267344247","打开订单商品")</f>
        <v>打开订单商品</v>
      </c>
      <c r="I64" s="10" t="str">
        <f aca="false">HYPERLINK("https://item.szlcsc.com/99429.html","查看工程型号")</f>
        <v>查看工程型号</v>
      </c>
      <c r="J64" s="8" t="s">
        <v>143</v>
      </c>
      <c r="K64" s="8" t="s">
        <v>295</v>
      </c>
    </row>
    <row r="65" customFormat="false" ht="64" hidden="false" customHeight="true" outlineLevel="0" collapsed="false">
      <c r="A65" s="1" t="s">
        <v>244</v>
      </c>
      <c r="B65" s="8" t="s">
        <v>422</v>
      </c>
      <c r="C65" s="8" t="s">
        <v>144</v>
      </c>
      <c r="D65" s="1" t="s">
        <v>423</v>
      </c>
      <c r="E65" s="8" t="s">
        <v>293</v>
      </c>
      <c r="F65" s="8" t="s">
        <v>424</v>
      </c>
      <c r="G65" s="8" t="s">
        <v>148</v>
      </c>
      <c r="H65" s="10" t="str">
        <f aca="false">HYPERLINK("https://item.taobao.com/item.htm?id=947267344247","打开订单商品")</f>
        <v>打开订单商品</v>
      </c>
      <c r="I65" s="10" t="str">
        <f aca="false">HYPERLINK("https://item.szlcsc.com/21903.html","查看工程型号")</f>
        <v>查看工程型号</v>
      </c>
      <c r="J65" s="8" t="s">
        <v>149</v>
      </c>
      <c r="K65" s="8" t="s">
        <v>295</v>
      </c>
    </row>
    <row r="66" customFormat="false" ht="64" hidden="false" customHeight="true" outlineLevel="0" collapsed="false">
      <c r="A66" s="1" t="s">
        <v>425</v>
      </c>
      <c r="B66" s="8" t="s">
        <v>426</v>
      </c>
      <c r="C66" s="8" t="s">
        <v>144</v>
      </c>
      <c r="D66" s="1" t="s">
        <v>423</v>
      </c>
      <c r="E66" s="8" t="s">
        <v>293</v>
      </c>
      <c r="F66" s="8" t="s">
        <v>424</v>
      </c>
      <c r="G66" s="8" t="s">
        <v>148</v>
      </c>
      <c r="H66" s="10" t="str">
        <f aca="false">HYPERLINK("https://item.taobao.com/item.htm?id=947267344247","打开订单商品")</f>
        <v>打开订单商品</v>
      </c>
      <c r="I66" s="10" t="str">
        <f aca="false">HYPERLINK("https://item.szlcsc.com/21903.html","查看工程型号")</f>
        <v>查看工程型号</v>
      </c>
      <c r="J66" s="8" t="s">
        <v>149</v>
      </c>
      <c r="K66" s="8" t="s">
        <v>295</v>
      </c>
    </row>
    <row r="67" customFormat="false" ht="64" hidden="false" customHeight="true" outlineLevel="0" collapsed="false">
      <c r="A67" s="1" t="s">
        <v>427</v>
      </c>
      <c r="B67" s="8" t="s">
        <v>428</v>
      </c>
      <c r="C67" s="8" t="s">
        <v>144</v>
      </c>
      <c r="D67" s="1" t="s">
        <v>423</v>
      </c>
      <c r="E67" s="8" t="s">
        <v>293</v>
      </c>
      <c r="F67" s="8" t="s">
        <v>424</v>
      </c>
      <c r="G67" s="8" t="s">
        <v>148</v>
      </c>
      <c r="H67" s="10" t="str">
        <f aca="false">HYPERLINK("https://item.taobao.com/item.htm?id=947267344247","打开订单商品")</f>
        <v>打开订单商品</v>
      </c>
      <c r="I67" s="10" t="str">
        <f aca="false">HYPERLINK("https://item.szlcsc.com/21903.html","查看工程型号")</f>
        <v>查看工程型号</v>
      </c>
      <c r="J67" s="8" t="s">
        <v>149</v>
      </c>
      <c r="K67" s="8" t="s">
        <v>295</v>
      </c>
    </row>
    <row r="68" customFormat="false" ht="64" hidden="false" customHeight="true" outlineLevel="0" collapsed="false">
      <c r="A68" s="1" t="s">
        <v>249</v>
      </c>
      <c r="B68" s="8" t="s">
        <v>429</v>
      </c>
      <c r="C68" s="8" t="s">
        <v>137</v>
      </c>
      <c r="D68" s="1" t="s">
        <v>418</v>
      </c>
      <c r="E68" s="8" t="s">
        <v>293</v>
      </c>
      <c r="F68" s="8" t="s">
        <v>419</v>
      </c>
      <c r="G68" s="8" t="s">
        <v>142</v>
      </c>
      <c r="H68" s="10" t="str">
        <f aca="false">HYPERLINK("https://item.taobao.com/item.htm?id=947267344247","打开订单商品")</f>
        <v>打开订单商品</v>
      </c>
      <c r="I68" s="10" t="str">
        <f aca="false">HYPERLINK("https://item.szlcsc.com/99429.html","查看工程型号")</f>
        <v>查看工程型号</v>
      </c>
      <c r="J68" s="8" t="s">
        <v>143</v>
      </c>
      <c r="K68" s="8" t="s">
        <v>295</v>
      </c>
    </row>
    <row r="69" customFormat="false" ht="64" hidden="false" customHeight="true" outlineLevel="0" collapsed="false">
      <c r="A69" s="1" t="s">
        <v>254</v>
      </c>
      <c r="B69" s="8" t="s">
        <v>430</v>
      </c>
      <c r="C69" s="8" t="s">
        <v>144</v>
      </c>
      <c r="D69" s="1" t="s">
        <v>423</v>
      </c>
      <c r="E69" s="8" t="s">
        <v>293</v>
      </c>
      <c r="F69" s="8" t="s">
        <v>424</v>
      </c>
      <c r="G69" s="8" t="s">
        <v>148</v>
      </c>
      <c r="H69" s="10" t="str">
        <f aca="false">HYPERLINK("https://item.taobao.com/item.htm?id=947267344247","打开订单商品")</f>
        <v>打开订单商品</v>
      </c>
      <c r="I69" s="10" t="str">
        <f aca="false">HYPERLINK("https://item.szlcsc.com/21903.html","查看工程型号")</f>
        <v>查看工程型号</v>
      </c>
      <c r="J69" s="8" t="s">
        <v>149</v>
      </c>
      <c r="K69" s="8" t="s">
        <v>295</v>
      </c>
    </row>
    <row r="70" customFormat="false" ht="64" hidden="false" customHeight="true" outlineLevel="0" collapsed="false">
      <c r="A70" s="1" t="s">
        <v>152</v>
      </c>
      <c r="B70" s="8" t="s">
        <v>431</v>
      </c>
      <c r="C70" s="8" t="s">
        <v>150</v>
      </c>
      <c r="D70" s="1" t="s">
        <v>432</v>
      </c>
      <c r="E70" s="8" t="s">
        <v>293</v>
      </c>
      <c r="F70" s="8" t="s">
        <v>433</v>
      </c>
      <c r="G70" s="8" t="s">
        <v>153</v>
      </c>
      <c r="H70" s="10" t="str">
        <f aca="false">HYPERLINK("https://item.taobao.com/item.htm?id=947267344247","打开订单商品")</f>
        <v>打开订单商品</v>
      </c>
      <c r="I70" s="10" t="str">
        <f aca="false">HYPERLINK("https://www.lcsc.com/product-detail/C22775.html","查看工程型号")</f>
        <v>查看工程型号</v>
      </c>
      <c r="J70" s="8" t="s">
        <v>154</v>
      </c>
      <c r="K70" s="8" t="s">
        <v>295</v>
      </c>
    </row>
    <row r="71" customFormat="false" ht="64" hidden="false" customHeight="true" outlineLevel="0" collapsed="false">
      <c r="A71" s="1" t="s">
        <v>434</v>
      </c>
      <c r="B71" s="8" t="s">
        <v>435</v>
      </c>
      <c r="C71" s="8" t="s">
        <v>137</v>
      </c>
      <c r="D71" s="1" t="s">
        <v>418</v>
      </c>
      <c r="E71" s="8" t="s">
        <v>293</v>
      </c>
      <c r="F71" s="8" t="s">
        <v>419</v>
      </c>
      <c r="G71" s="8" t="s">
        <v>142</v>
      </c>
      <c r="H71" s="10" t="str">
        <f aca="false">HYPERLINK("https://item.taobao.com/item.htm?id=947267344247","打开订单商品")</f>
        <v>打开订单商品</v>
      </c>
      <c r="I71" s="10" t="str">
        <f aca="false">HYPERLINK("https://item.szlcsc.com/99429.html","查看工程型号")</f>
        <v>查看工程型号</v>
      </c>
      <c r="J71" s="8" t="s">
        <v>143</v>
      </c>
      <c r="K71" s="8" t="s">
        <v>295</v>
      </c>
    </row>
    <row r="72" customFormat="false" ht="64" hidden="false" customHeight="true" outlineLevel="0" collapsed="false">
      <c r="A72" s="1" t="s">
        <v>436</v>
      </c>
      <c r="B72" s="8" t="s">
        <v>437</v>
      </c>
      <c r="C72" s="8" t="s">
        <v>137</v>
      </c>
      <c r="D72" s="1" t="s">
        <v>418</v>
      </c>
      <c r="E72" s="8" t="s">
        <v>293</v>
      </c>
      <c r="F72" s="8" t="s">
        <v>419</v>
      </c>
      <c r="G72" s="8" t="s">
        <v>142</v>
      </c>
      <c r="H72" s="10" t="str">
        <f aca="false">HYPERLINK("https://item.taobao.com/item.htm?id=947267344247","打开订单商品")</f>
        <v>打开订单商品</v>
      </c>
      <c r="I72" s="10" t="str">
        <f aca="false">HYPERLINK("https://item.szlcsc.com/99429.html","查看工程型号")</f>
        <v>查看工程型号</v>
      </c>
      <c r="J72" s="8" t="s">
        <v>143</v>
      </c>
      <c r="K72" s="8" t="s">
        <v>295</v>
      </c>
    </row>
    <row r="73" customFormat="false" ht="64" hidden="false" customHeight="true" outlineLevel="0" collapsed="false">
      <c r="A73" s="1" t="s">
        <v>438</v>
      </c>
      <c r="B73" s="8" t="s">
        <v>439</v>
      </c>
      <c r="C73" s="8" t="s">
        <v>137</v>
      </c>
      <c r="D73" s="1" t="s">
        <v>418</v>
      </c>
      <c r="E73" s="8" t="s">
        <v>293</v>
      </c>
      <c r="F73" s="8" t="s">
        <v>419</v>
      </c>
      <c r="G73" s="8" t="s">
        <v>142</v>
      </c>
      <c r="H73" s="10" t="str">
        <f aca="false">HYPERLINK("https://item.taobao.com/item.htm?id=947267344247","打开订单商品")</f>
        <v>打开订单商品</v>
      </c>
      <c r="I73" s="10" t="str">
        <f aca="false">HYPERLINK("https://item.szlcsc.com/99429.html","查看工程型号")</f>
        <v>查看工程型号</v>
      </c>
      <c r="J73" s="8" t="s">
        <v>143</v>
      </c>
      <c r="K73" s="8" t="s">
        <v>295</v>
      </c>
    </row>
    <row r="74" customFormat="false" ht="64" hidden="false" customHeight="true" outlineLevel="0" collapsed="false">
      <c r="A74" s="1" t="s">
        <v>440</v>
      </c>
      <c r="B74" s="8" t="s">
        <v>441</v>
      </c>
      <c r="C74" s="8" t="s">
        <v>137</v>
      </c>
      <c r="D74" s="1" t="s">
        <v>418</v>
      </c>
      <c r="E74" s="8" t="s">
        <v>293</v>
      </c>
      <c r="F74" s="8" t="s">
        <v>419</v>
      </c>
      <c r="G74" s="8" t="s">
        <v>142</v>
      </c>
      <c r="H74" s="10" t="str">
        <f aca="false">HYPERLINK("https://item.taobao.com/item.htm?id=947267344247","打开订单商品")</f>
        <v>打开订单商品</v>
      </c>
      <c r="I74" s="10" t="str">
        <f aca="false">HYPERLINK("https://item.szlcsc.com/99429.html","查看工程型号")</f>
        <v>查看工程型号</v>
      </c>
      <c r="J74" s="8" t="s">
        <v>143</v>
      </c>
      <c r="K74" s="8" t="s">
        <v>295</v>
      </c>
    </row>
    <row r="75" customFormat="false" ht="64" hidden="false" customHeight="true" outlineLevel="0" collapsed="false">
      <c r="A75" s="1" t="s">
        <v>442</v>
      </c>
      <c r="B75" s="8" t="s">
        <v>443</v>
      </c>
      <c r="C75" s="8" t="s">
        <v>137</v>
      </c>
      <c r="D75" s="1" t="s">
        <v>418</v>
      </c>
      <c r="E75" s="8" t="s">
        <v>293</v>
      </c>
      <c r="F75" s="8" t="s">
        <v>419</v>
      </c>
      <c r="G75" s="8" t="s">
        <v>142</v>
      </c>
      <c r="H75" s="10" t="str">
        <f aca="false">HYPERLINK("https://item.taobao.com/item.htm?id=947267344247","打开订单商品")</f>
        <v>打开订单商品</v>
      </c>
      <c r="I75" s="10" t="str">
        <f aca="false">HYPERLINK("https://item.szlcsc.com/99429.html","查看工程型号")</f>
        <v>查看工程型号</v>
      </c>
      <c r="J75" s="8" t="s">
        <v>143</v>
      </c>
      <c r="K75" s="8" t="s">
        <v>295</v>
      </c>
    </row>
    <row r="76" customFormat="false" ht="64" hidden="false" customHeight="true" outlineLevel="0" collapsed="false">
      <c r="A76" s="1" t="s">
        <v>444</v>
      </c>
      <c r="B76" s="8" t="s">
        <v>445</v>
      </c>
      <c r="C76" s="8" t="s">
        <v>137</v>
      </c>
      <c r="D76" s="1" t="s">
        <v>418</v>
      </c>
      <c r="E76" s="8" t="s">
        <v>293</v>
      </c>
      <c r="F76" s="8" t="s">
        <v>419</v>
      </c>
      <c r="G76" s="8" t="s">
        <v>142</v>
      </c>
      <c r="H76" s="10" t="str">
        <f aca="false">HYPERLINK("https://item.taobao.com/item.htm?id=947267344247","打开订单商品")</f>
        <v>打开订单商品</v>
      </c>
      <c r="I76" s="10" t="str">
        <f aca="false">HYPERLINK("https://item.szlcsc.com/99429.html","查看工程型号")</f>
        <v>查看工程型号</v>
      </c>
      <c r="J76" s="8" t="s">
        <v>143</v>
      </c>
      <c r="K76" s="8" t="s">
        <v>295</v>
      </c>
    </row>
    <row r="77" customFormat="false" ht="64" hidden="false" customHeight="true" outlineLevel="0" collapsed="false">
      <c r="A77" s="1" t="s">
        <v>157</v>
      </c>
      <c r="B77" s="8" t="s">
        <v>446</v>
      </c>
      <c r="C77" s="8" t="s">
        <v>155</v>
      </c>
      <c r="D77" s="1" t="s">
        <v>447</v>
      </c>
      <c r="E77" s="8" t="s">
        <v>293</v>
      </c>
      <c r="F77" s="8" t="s">
        <v>448</v>
      </c>
      <c r="G77" s="8" t="s">
        <v>158</v>
      </c>
      <c r="H77" s="10" t="str">
        <f aca="false">HYPERLINK("https://item.taobao.com/item.htm?id=947267344247","打开订单商品")</f>
        <v>打开订单商品</v>
      </c>
      <c r="I77" s="10" t="str">
        <f aca="false">HYPERLINK("https://item.szlcsc.com/4591.html","查看工程型号")</f>
        <v>查看工程型号</v>
      </c>
      <c r="J77" s="8" t="s">
        <v>159</v>
      </c>
      <c r="K77" s="8" t="s">
        <v>295</v>
      </c>
    </row>
    <row r="78" customFormat="false" ht="64" hidden="false" customHeight="true" outlineLevel="0" collapsed="false">
      <c r="A78" s="1" t="s">
        <v>449</v>
      </c>
      <c r="B78" s="8" t="s">
        <v>450</v>
      </c>
      <c r="C78" s="8" t="s">
        <v>137</v>
      </c>
      <c r="D78" s="1" t="s">
        <v>418</v>
      </c>
      <c r="E78" s="8" t="s">
        <v>293</v>
      </c>
      <c r="F78" s="8" t="s">
        <v>419</v>
      </c>
      <c r="G78" s="8" t="s">
        <v>142</v>
      </c>
      <c r="H78" s="10" t="str">
        <f aca="false">HYPERLINK("https://item.taobao.com/item.htm?id=947267344247","打开订单商品")</f>
        <v>打开订单商品</v>
      </c>
      <c r="I78" s="10" t="str">
        <f aca="false">HYPERLINK("https://item.szlcsc.com/99429.html","查看工程型号")</f>
        <v>查看工程型号</v>
      </c>
      <c r="J78" s="8" t="s">
        <v>143</v>
      </c>
      <c r="K78" s="8" t="s">
        <v>295</v>
      </c>
    </row>
    <row r="79" customFormat="false" ht="64" hidden="false" customHeight="true" outlineLevel="0" collapsed="false">
      <c r="A79" s="1" t="s">
        <v>451</v>
      </c>
      <c r="B79" s="8" t="s">
        <v>452</v>
      </c>
      <c r="C79" s="8" t="s">
        <v>137</v>
      </c>
      <c r="D79" s="1" t="s">
        <v>418</v>
      </c>
      <c r="E79" s="8" t="s">
        <v>293</v>
      </c>
      <c r="F79" s="8" t="s">
        <v>419</v>
      </c>
      <c r="G79" s="8" t="s">
        <v>142</v>
      </c>
      <c r="H79" s="10" t="str">
        <f aca="false">HYPERLINK("https://item.taobao.com/item.htm?id=947267344247","打开订单商品")</f>
        <v>打开订单商品</v>
      </c>
      <c r="I79" s="10" t="str">
        <f aca="false">HYPERLINK("https://item.szlcsc.com/99429.html","查看工程型号")</f>
        <v>查看工程型号</v>
      </c>
      <c r="J79" s="8" t="s">
        <v>143</v>
      </c>
      <c r="K79" s="8" t="s">
        <v>295</v>
      </c>
    </row>
    <row r="80" customFormat="false" ht="64" hidden="false" customHeight="true" outlineLevel="0" collapsed="false">
      <c r="A80" s="1" t="s">
        <v>453</v>
      </c>
      <c r="B80" s="8" t="s">
        <v>454</v>
      </c>
      <c r="C80" s="8" t="s">
        <v>137</v>
      </c>
      <c r="D80" s="1" t="s">
        <v>418</v>
      </c>
      <c r="E80" s="8" t="s">
        <v>293</v>
      </c>
      <c r="F80" s="8" t="s">
        <v>419</v>
      </c>
      <c r="G80" s="8" t="s">
        <v>142</v>
      </c>
      <c r="H80" s="10" t="str">
        <f aca="false">HYPERLINK("https://item.taobao.com/item.htm?id=947267344247","打开订单商品")</f>
        <v>打开订单商品</v>
      </c>
      <c r="I80" s="10" t="str">
        <f aca="false">HYPERLINK("https://item.szlcsc.com/99429.html","查看工程型号")</f>
        <v>查看工程型号</v>
      </c>
      <c r="J80" s="8" t="s">
        <v>143</v>
      </c>
      <c r="K80" s="8" t="s">
        <v>295</v>
      </c>
    </row>
    <row r="81" customFormat="false" ht="64" hidden="false" customHeight="true" outlineLevel="0" collapsed="false">
      <c r="A81" s="1" t="s">
        <v>455</v>
      </c>
      <c r="B81" s="8" t="s">
        <v>456</v>
      </c>
      <c r="C81" s="8" t="s">
        <v>457</v>
      </c>
      <c r="D81" s="1" t="s">
        <v>458</v>
      </c>
      <c r="E81" s="8" t="s">
        <v>293</v>
      </c>
      <c r="F81" s="8" t="s">
        <v>459</v>
      </c>
      <c r="G81" s="8" t="s">
        <v>144</v>
      </c>
      <c r="H81" s="10" t="str">
        <f aca="false">HYPERLINK("https://item.taobao.com/item.htm?id=947267344247","打开订单商品")</f>
        <v>打开订单商品</v>
      </c>
      <c r="I81" s="10" t="str">
        <f aca="false">HYPERLINK("https://www.lcsc.com/product-detail/C22808.html","查看工程型号")</f>
        <v>查看工程型号</v>
      </c>
      <c r="J81" s="8" t="s">
        <v>149</v>
      </c>
      <c r="K81" s="8" t="s">
        <v>295</v>
      </c>
    </row>
    <row r="82" customFormat="false" ht="90" hidden="false" customHeight="true" outlineLevel="0" collapsed="false">
      <c r="A82" s="1" t="s">
        <v>163</v>
      </c>
      <c r="B82" s="8" t="s">
        <v>460</v>
      </c>
      <c r="C82" s="8" t="s">
        <v>161</v>
      </c>
      <c r="D82" s="1" t="s">
        <v>461</v>
      </c>
      <c r="E82" s="8" t="s">
        <v>293</v>
      </c>
      <c r="F82" s="8" t="s">
        <v>462</v>
      </c>
      <c r="G82" s="8" t="s">
        <v>165</v>
      </c>
      <c r="H82" s="10" t="str">
        <f aca="false">HYPERLINK("https://item.taobao.com/item.htm?id=582129955778","打开订单商品")</f>
        <v>打开订单商品</v>
      </c>
      <c r="I82" s="10" t="str">
        <f aca="false">HYPERLINK("https://item.szlcsc.com/984022.html","查看工程型号")</f>
        <v>查看工程型号</v>
      </c>
      <c r="J82" s="8" t="s">
        <v>166</v>
      </c>
      <c r="K82" s="8" t="s">
        <v>295</v>
      </c>
    </row>
    <row r="83" customFormat="false" ht="64" hidden="false" customHeight="true" outlineLevel="0" collapsed="false">
      <c r="A83" s="1" t="s">
        <v>169</v>
      </c>
      <c r="B83" s="8" t="s">
        <v>463</v>
      </c>
      <c r="C83" s="8" t="s">
        <v>167</v>
      </c>
      <c r="D83" s="1" t="s">
        <v>464</v>
      </c>
      <c r="E83" s="8" t="s">
        <v>465</v>
      </c>
      <c r="F83" s="8" t="s">
        <v>466</v>
      </c>
      <c r="G83" s="8" t="s">
        <v>167</v>
      </c>
      <c r="H83" s="10" t="str">
        <f aca="false">HYPERLINK("https://item.taobao.com/item.htm?id=808484505787","打开订单商品")</f>
        <v>打开订单商品</v>
      </c>
      <c r="I83" s="10" t="str">
        <f aca="false">HYPERLINK("https://item.szlcsc.com/87446.html","查看工程型号")</f>
        <v>查看工程型号</v>
      </c>
      <c r="J83" s="8" t="s">
        <v>171</v>
      </c>
      <c r="K83" s="8" t="s">
        <v>295</v>
      </c>
    </row>
    <row r="84" customFormat="false" ht="64" hidden="false" customHeight="true" outlineLevel="0" collapsed="false">
      <c r="A84" s="1" t="s">
        <v>174</v>
      </c>
      <c r="B84" s="8" t="s">
        <v>172</v>
      </c>
      <c r="C84" s="8" t="s">
        <v>172</v>
      </c>
      <c r="D84" s="1" t="s">
        <v>467</v>
      </c>
      <c r="E84" s="8" t="s">
        <v>468</v>
      </c>
      <c r="F84" s="8" t="s">
        <v>469</v>
      </c>
      <c r="G84" s="8" t="s">
        <v>176</v>
      </c>
      <c r="H84" s="10" t="str">
        <f aca="false">HYPERLINK("https://item.taobao.com/item.htm?id=908248360601","打开订单商品")</f>
        <v>打开订单商品</v>
      </c>
      <c r="I84" s="10" t="str">
        <f aca="false">HYPERLINK("https://www.lcsc.com/product-detail/C181753.html","查看工程型号")</f>
        <v>查看工程型号</v>
      </c>
      <c r="J84" s="8" t="s">
        <v>177</v>
      </c>
      <c r="K84" s="8" t="s">
        <v>295</v>
      </c>
    </row>
    <row r="85" customFormat="false" ht="64" hidden="false" customHeight="true" outlineLevel="0" collapsed="false">
      <c r="A85" s="1" t="s">
        <v>180</v>
      </c>
      <c r="B85" s="8" t="s">
        <v>470</v>
      </c>
      <c r="C85" s="8" t="s">
        <v>178</v>
      </c>
      <c r="D85" s="1" t="s">
        <v>471</v>
      </c>
      <c r="E85" s="8" t="s">
        <v>412</v>
      </c>
      <c r="F85" s="8" t="s">
        <v>472</v>
      </c>
      <c r="G85" s="8" t="s">
        <v>181</v>
      </c>
      <c r="H85" s="10" t="str">
        <f aca="false">HYPERLINK("https://item.taobao.com/item.htm?id=762173333947","打开订单商品")</f>
        <v>打开订单商品</v>
      </c>
      <c r="I85" s="10" t="str">
        <f aca="false">HYPERLINK("https://item.szlcsc.com/324033.html","查看工程型号")</f>
        <v>查看工程型号</v>
      </c>
      <c r="J85" s="8" t="s">
        <v>182</v>
      </c>
      <c r="K85" s="8" t="s">
        <v>295</v>
      </c>
    </row>
    <row r="86" customFormat="false" ht="64" hidden="false" customHeight="true" outlineLevel="0" collapsed="false">
      <c r="A86" s="1" t="s">
        <v>185</v>
      </c>
      <c r="B86" s="8" t="s">
        <v>473</v>
      </c>
      <c r="C86" s="8" t="s">
        <v>183</v>
      </c>
      <c r="D86" s="1" t="s">
        <v>474</v>
      </c>
      <c r="E86" s="8" t="s">
        <v>475</v>
      </c>
      <c r="F86" s="8" t="s">
        <v>476</v>
      </c>
      <c r="G86" s="8" t="s">
        <v>187</v>
      </c>
      <c r="H86" s="10" t="str">
        <f aca="false">HYPERLINK("https://item.taobao.com/item.htm?id=902117985110","打开订单商品")</f>
        <v>打开订单商品</v>
      </c>
      <c r="I86" s="10" t="str">
        <f aca="false">HYPERLINK("https://www.lcsc.com/product-detail/C7666.html","查看工程型号")</f>
        <v>查看工程型号</v>
      </c>
      <c r="J86" s="8" t="s">
        <v>188</v>
      </c>
      <c r="K86" s="8" t="s">
        <v>295</v>
      </c>
    </row>
    <row r="87" customFormat="false" ht="64" hidden="false" customHeight="true" outlineLevel="0" collapsed="false">
      <c r="A87" s="1" t="s">
        <v>191</v>
      </c>
      <c r="B87" s="8" t="s">
        <v>477</v>
      </c>
      <c r="C87" s="8" t="s">
        <v>189</v>
      </c>
      <c r="D87" s="1" t="s">
        <v>478</v>
      </c>
      <c r="E87" s="8" t="s">
        <v>475</v>
      </c>
      <c r="F87" s="8" t="s">
        <v>479</v>
      </c>
      <c r="G87" s="8" t="s">
        <v>192</v>
      </c>
      <c r="H87" s="10" t="str">
        <f aca="false">HYPERLINK("https://item.taobao.com/item.htm?id=902117985110","打开订单商品")</f>
        <v>打开订单商品</v>
      </c>
      <c r="I87" s="10" t="str">
        <f aca="false">HYPERLINK("https://item.szlcsc.com/3597950.html","查看工程型号")</f>
        <v>查看工程型号</v>
      </c>
      <c r="J87" s="8" t="s">
        <v>193</v>
      </c>
      <c r="K87" s="8" t="s">
        <v>295</v>
      </c>
    </row>
    <row r="88" customFormat="false" ht="64" hidden="false" customHeight="true" outlineLevel="0" collapsed="false">
      <c r="A88" s="1" t="s">
        <v>196</v>
      </c>
      <c r="B88" s="8" t="s">
        <v>480</v>
      </c>
      <c r="C88" s="8" t="s">
        <v>194</v>
      </c>
      <c r="D88" s="1" t="s">
        <v>481</v>
      </c>
      <c r="E88" s="8" t="s">
        <v>475</v>
      </c>
      <c r="F88" s="8" t="s">
        <v>482</v>
      </c>
      <c r="G88" s="8" t="s">
        <v>197</v>
      </c>
      <c r="H88" s="10" t="str">
        <f aca="false">HYPERLINK("https://item.taobao.com/item.htm?id=902117985110","打开订单商品")</f>
        <v>打开订单商品</v>
      </c>
      <c r="I88" s="10" t="str">
        <f aca="false">HYPERLINK("https://www.lcsc.com/product-detail/C7834.html","查看工程型号")</f>
        <v>查看工程型号</v>
      </c>
      <c r="J88" s="8" t="s">
        <v>198</v>
      </c>
      <c r="K88" s="8" t="s">
        <v>295</v>
      </c>
    </row>
    <row r="89" customFormat="false" ht="64" hidden="false" customHeight="true" outlineLevel="0" collapsed="false">
      <c r="A89" s="1" t="s">
        <v>201</v>
      </c>
      <c r="B89" s="8" t="s">
        <v>483</v>
      </c>
      <c r="C89" s="8" t="s">
        <v>199</v>
      </c>
      <c r="D89" s="1" t="s">
        <v>484</v>
      </c>
      <c r="E89" s="8" t="s">
        <v>485</v>
      </c>
      <c r="F89" s="8" t="s">
        <v>486</v>
      </c>
      <c r="G89" s="8" t="s">
        <v>199</v>
      </c>
      <c r="H89" s="10" t="str">
        <f aca="false">HYPERLINK("https://item.taobao.com/item.htm?id=969642590399","打开订单商品")</f>
        <v>打开订单商品</v>
      </c>
      <c r="I89" s="10" t="str">
        <f aca="false">HYPERLINK("https://item.szlcsc.com/2162639.html","查看工程型号")</f>
        <v>查看工程型号</v>
      </c>
      <c r="J89" s="8" t="s">
        <v>202</v>
      </c>
      <c r="K89" s="8" t="s">
        <v>295</v>
      </c>
    </row>
    <row r="90" customFormat="false" ht="64" hidden="false" customHeight="true" outlineLevel="0" collapsed="false">
      <c r="A90" s="1" t="s">
        <v>205</v>
      </c>
      <c r="B90" s="8" t="s">
        <v>487</v>
      </c>
      <c r="C90" s="8" t="s">
        <v>203</v>
      </c>
      <c r="D90" s="1" t="s">
        <v>488</v>
      </c>
      <c r="E90" s="8" t="s">
        <v>485</v>
      </c>
      <c r="F90" s="8" t="s">
        <v>489</v>
      </c>
      <c r="G90" s="8" t="s">
        <v>207</v>
      </c>
      <c r="H90" s="10" t="str">
        <f aca="false">HYPERLINK("https://item.taobao.com/item.htm?id=1013388982214","打开订单商品")</f>
        <v>打开订单商品</v>
      </c>
      <c r="I90" s="10" t="str">
        <f aca="false">HYPERLINK("https://www.lcsc.com/product-detail/C473393.html","查看工程型号")</f>
        <v>查看工程型号</v>
      </c>
      <c r="J90" s="8" t="s">
        <v>208</v>
      </c>
      <c r="K90" s="8" t="s">
        <v>295</v>
      </c>
    </row>
    <row r="91" customFormat="false" ht="64" hidden="false" customHeight="true" outlineLevel="0" collapsed="false">
      <c r="A91" s="1" t="s">
        <v>212</v>
      </c>
      <c r="B91" s="8" t="s">
        <v>490</v>
      </c>
      <c r="C91" s="8" t="s">
        <v>210</v>
      </c>
      <c r="D91" s="1" t="s">
        <v>491</v>
      </c>
      <c r="E91" s="8" t="s">
        <v>492</v>
      </c>
      <c r="F91" s="8" t="s">
        <v>490</v>
      </c>
      <c r="G91" s="8" t="s">
        <v>214</v>
      </c>
      <c r="H91" s="10" t="str">
        <f aca="false">HYPERLINK("https://item.taobao.com/item.htm?id=944053669860","打开订单商品")</f>
        <v>打开订单商品</v>
      </c>
      <c r="I91" s="10" t="str">
        <f aca="false">HYPERLINK("https://item.szlcsc.com/8414369.html","查看工程型号")</f>
        <v>查看工程型号</v>
      </c>
      <c r="J91" s="8" t="s">
        <v>215</v>
      </c>
      <c r="K91" s="8" t="s">
        <v>295</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5C7393"/>
    <pageSetUpPr fitToPage="false"/>
  </sheetPr>
  <dimension ref="A1:K3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7" topLeftCell="C8" activePane="bottomRight" state="frozen"/>
      <selection pane="topLeft" activeCell="A1" activeCellId="0" sqref="A1"/>
      <selection pane="topRight" activeCell="C1" activeCellId="0" sqref="C1"/>
      <selection pane="bottomLeft" activeCell="A8" activeCellId="0" sqref="A8"/>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9"/>
    <col collapsed="false" customWidth="true" hidden="false" outlineLevel="0" max="2" min="2" style="0" width="34"/>
    <col collapsed="false" customWidth="true" hidden="false" outlineLevel="0" max="3" min="3" style="0" width="35"/>
    <col collapsed="false" customWidth="true" hidden="false" outlineLevel="0" max="4" min="4" style="0" width="16"/>
    <col collapsed="false" customWidth="true" hidden="false" outlineLevel="0" max="5" min="5" style="0" width="24"/>
    <col collapsed="false" customWidth="true" hidden="false" outlineLevel="0" max="6" min="6" style="0" width="49"/>
    <col collapsed="false" customWidth="true" hidden="false" outlineLevel="0" max="7" min="7" style="0" width="48"/>
    <col collapsed="false" customWidth="true" hidden="false" outlineLevel="0" max="8" min="8" style="0" width="19"/>
    <col collapsed="false" customWidth="true" hidden="false" outlineLevel="0" max="9" min="9" style="0" width="20"/>
    <col collapsed="false" customWidth="true" hidden="false" outlineLevel="0" max="10" min="10" style="0" width="65"/>
    <col collapsed="false" customWidth="true" hidden="false" outlineLevel="0" max="11" min="11" style="0" width="32"/>
    <col collapsed="false" customWidth="true" hidden="false" outlineLevel="0" max="12" min="12" style="0" width="65"/>
    <col collapsed="false" customWidth="true" hidden="false" outlineLevel="0" max="13" min="13" style="0" width="32"/>
  </cols>
  <sheetData>
    <row r="1" customFormat="false" ht="24" hidden="false" customHeight="true" outlineLevel="0" collapsed="false">
      <c r="A1" s="1"/>
      <c r="B1" s="1"/>
      <c r="C1" s="1"/>
      <c r="D1" s="1"/>
      <c r="E1" s="1"/>
      <c r="F1" s="1"/>
      <c r="G1" s="1"/>
      <c r="H1" s="1"/>
      <c r="I1" s="1"/>
      <c r="J1" s="1"/>
      <c r="K1" s="1"/>
    </row>
    <row r="2" customFormat="false" ht="30" hidden="false" customHeight="true" outlineLevel="0" collapsed="false">
      <c r="A2" s="2" t="s">
        <v>493</v>
      </c>
      <c r="B2" s="3"/>
      <c r="C2" s="3"/>
      <c r="D2" s="3"/>
      <c r="E2" s="3"/>
      <c r="F2" s="3"/>
      <c r="G2" s="3"/>
      <c r="H2" s="3"/>
      <c r="I2" s="3"/>
      <c r="J2" s="3"/>
      <c r="K2" s="3"/>
    </row>
    <row r="3" customFormat="false" ht="24" hidden="false" customHeight="true" outlineLevel="0" collapsed="false">
      <c r="A3" s="4" t="s">
        <v>494</v>
      </c>
      <c r="B3" s="1"/>
      <c r="C3" s="1"/>
      <c r="D3" s="1"/>
      <c r="E3" s="1"/>
      <c r="F3" s="1"/>
      <c r="G3" s="1"/>
      <c r="H3" s="1"/>
      <c r="I3" s="1"/>
      <c r="J3" s="1"/>
      <c r="K3" s="1"/>
    </row>
    <row r="4" customFormat="false" ht="24" hidden="false" customHeight="true" outlineLevel="0" collapsed="false">
      <c r="A4" s="1" t="s">
        <v>495</v>
      </c>
      <c r="B4" s="1"/>
      <c r="C4" s="1"/>
      <c r="D4" s="1"/>
      <c r="E4" s="1"/>
      <c r="F4" s="1"/>
      <c r="G4" s="1"/>
      <c r="H4" s="1"/>
      <c r="I4" s="1"/>
      <c r="J4" s="1"/>
      <c r="K4" s="1"/>
    </row>
    <row r="5" customFormat="false" ht="24" hidden="false" customHeight="true" outlineLevel="0" collapsed="false">
      <c r="A5" s="1" t="s">
        <v>496</v>
      </c>
      <c r="B5" s="1"/>
      <c r="C5" s="1"/>
      <c r="D5" s="1"/>
      <c r="E5" s="1"/>
      <c r="F5" s="1"/>
      <c r="G5" s="1"/>
      <c r="H5" s="1"/>
      <c r="I5" s="1"/>
      <c r="J5" s="1"/>
      <c r="K5" s="1"/>
    </row>
    <row r="6" customFormat="false" ht="24" hidden="false" customHeight="true" outlineLevel="0" collapsed="false">
      <c r="A6" s="1" t="s">
        <v>279</v>
      </c>
      <c r="B6" s="1"/>
      <c r="C6" s="1"/>
      <c r="D6" s="1"/>
      <c r="E6" s="1"/>
      <c r="F6" s="1"/>
      <c r="G6" s="1"/>
      <c r="H6" s="1"/>
      <c r="I6" s="1"/>
      <c r="J6" s="1"/>
      <c r="K6" s="1"/>
    </row>
    <row r="7" customFormat="false" ht="34" hidden="false" customHeight="true" outlineLevel="0" collapsed="false">
      <c r="A7" s="12" t="s">
        <v>280</v>
      </c>
      <c r="B7" s="6" t="s">
        <v>281</v>
      </c>
      <c r="C7" s="6" t="s">
        <v>282</v>
      </c>
      <c r="D7" s="6" t="s">
        <v>283</v>
      </c>
      <c r="E7" s="6" t="s">
        <v>284</v>
      </c>
      <c r="F7" s="6" t="s">
        <v>285</v>
      </c>
      <c r="G7" s="6" t="s">
        <v>286</v>
      </c>
      <c r="H7" s="6" t="s">
        <v>17</v>
      </c>
      <c r="I7" s="6" t="s">
        <v>287</v>
      </c>
      <c r="J7" s="6" t="s">
        <v>288</v>
      </c>
      <c r="K7" s="7" t="s">
        <v>289</v>
      </c>
    </row>
    <row r="8" customFormat="false" ht="64" hidden="false" customHeight="true" outlineLevel="0" collapsed="false">
      <c r="A8" s="1" t="s">
        <v>290</v>
      </c>
      <c r="B8" s="8" t="s">
        <v>497</v>
      </c>
      <c r="C8" s="8" t="s">
        <v>216</v>
      </c>
      <c r="D8" s="1" t="s">
        <v>498</v>
      </c>
      <c r="E8" s="8" t="s">
        <v>499</v>
      </c>
      <c r="F8" s="8" t="s">
        <v>500</v>
      </c>
      <c r="G8" s="8" t="s">
        <v>219</v>
      </c>
      <c r="H8" s="10" t="str">
        <f aca="false">HYPERLINK("https://item.taobao.com/item.htm?id=977236759812","打开订单商品")</f>
        <v>打开订单商品</v>
      </c>
      <c r="I8" s="10" t="str">
        <f aca="false">HYPERLINK("https://www.lcsc.com/product-detail/C1779.html","查看工程型号")</f>
        <v>查看工程型号</v>
      </c>
      <c r="J8" s="8" t="s">
        <v>220</v>
      </c>
      <c r="K8" s="8" t="s">
        <v>501</v>
      </c>
    </row>
    <row r="9" customFormat="false" ht="64" hidden="false" customHeight="true" outlineLevel="0" collapsed="false">
      <c r="A9" s="1" t="s">
        <v>296</v>
      </c>
      <c r="B9" s="8" t="s">
        <v>359</v>
      </c>
      <c r="C9" s="8" t="s">
        <v>221</v>
      </c>
      <c r="D9" s="1" t="s">
        <v>502</v>
      </c>
      <c r="E9" s="8" t="s">
        <v>293</v>
      </c>
      <c r="F9" s="8" t="s">
        <v>503</v>
      </c>
      <c r="G9" s="8" t="s">
        <v>43</v>
      </c>
      <c r="H9" s="10" t="str">
        <f aca="false">HYPERLINK("https://item.taobao.com/item.htm?id=731471380840","打开订单商品")</f>
        <v>打开订单商品</v>
      </c>
      <c r="I9" s="10" t="str">
        <f aca="false">HYPERLINK("https://item.szlcsc.com/25192.html","查看工程型号")</f>
        <v>查看工程型号</v>
      </c>
      <c r="J9" s="8" t="s">
        <v>44</v>
      </c>
      <c r="K9" s="8" t="s">
        <v>501</v>
      </c>
    </row>
    <row r="10" customFormat="false" ht="64" hidden="false" customHeight="true" outlineLevel="0" collapsed="false">
      <c r="A10" s="1" t="s">
        <v>298</v>
      </c>
      <c r="B10" s="8" t="s">
        <v>497</v>
      </c>
      <c r="C10" s="8" t="s">
        <v>216</v>
      </c>
      <c r="D10" s="1" t="s">
        <v>498</v>
      </c>
      <c r="E10" s="8" t="s">
        <v>499</v>
      </c>
      <c r="F10" s="8" t="s">
        <v>500</v>
      </c>
      <c r="G10" s="8" t="s">
        <v>219</v>
      </c>
      <c r="H10" s="10" t="str">
        <f aca="false">HYPERLINK("https://item.taobao.com/item.htm?id=977236759812","打开订单商品")</f>
        <v>打开订单商品</v>
      </c>
      <c r="I10" s="10" t="str">
        <f aca="false">HYPERLINK("https://www.lcsc.com/product-detail/C1779.html","查看工程型号")</f>
        <v>查看工程型号</v>
      </c>
      <c r="J10" s="8" t="s">
        <v>220</v>
      </c>
      <c r="K10" s="8" t="s">
        <v>501</v>
      </c>
    </row>
    <row r="11" customFormat="false" ht="64" hidden="false" customHeight="true" outlineLevel="0" collapsed="false">
      <c r="A11" s="1" t="s">
        <v>300</v>
      </c>
      <c r="B11" s="8" t="s">
        <v>359</v>
      </c>
      <c r="C11" s="8" t="s">
        <v>221</v>
      </c>
      <c r="D11" s="1" t="s">
        <v>502</v>
      </c>
      <c r="E11" s="8" t="s">
        <v>293</v>
      </c>
      <c r="F11" s="8" t="s">
        <v>503</v>
      </c>
      <c r="G11" s="8" t="s">
        <v>43</v>
      </c>
      <c r="H11" s="10" t="str">
        <f aca="false">HYPERLINK("https://item.taobao.com/item.htm?id=731471380840","打开订单商品")</f>
        <v>打开订单商品</v>
      </c>
      <c r="I11" s="10" t="str">
        <f aca="false">HYPERLINK("https://item.szlcsc.com/25192.html","查看工程型号")</f>
        <v>查看工程型号</v>
      </c>
      <c r="J11" s="8" t="s">
        <v>44</v>
      </c>
      <c r="K11" s="8" t="s">
        <v>501</v>
      </c>
    </row>
    <row r="12" customFormat="false" ht="64" hidden="false" customHeight="true" outlineLevel="0" collapsed="false">
      <c r="A12" s="1" t="s">
        <v>302</v>
      </c>
      <c r="B12" s="8" t="s">
        <v>504</v>
      </c>
      <c r="C12" s="8" t="s">
        <v>221</v>
      </c>
      <c r="D12" s="1" t="s">
        <v>502</v>
      </c>
      <c r="E12" s="8" t="s">
        <v>293</v>
      </c>
      <c r="F12" s="8" t="s">
        <v>503</v>
      </c>
      <c r="G12" s="8" t="s">
        <v>43</v>
      </c>
      <c r="H12" s="10" t="str">
        <f aca="false">HYPERLINK("https://item.taobao.com/item.htm?id=731471380840","打开订单商品")</f>
        <v>打开订单商品</v>
      </c>
      <c r="I12" s="10" t="str">
        <f aca="false">HYPERLINK("https://item.szlcsc.com/25192.html","查看工程型号")</f>
        <v>查看工程型号</v>
      </c>
      <c r="J12" s="8" t="s">
        <v>44</v>
      </c>
      <c r="K12" s="8" t="s">
        <v>501</v>
      </c>
    </row>
    <row r="13" customFormat="false" ht="64" hidden="false" customHeight="true" outlineLevel="0" collapsed="false">
      <c r="A13" s="1" t="s">
        <v>306</v>
      </c>
      <c r="B13" s="8" t="s">
        <v>505</v>
      </c>
      <c r="C13" s="8" t="s">
        <v>224</v>
      </c>
      <c r="D13" s="1" t="s">
        <v>506</v>
      </c>
      <c r="E13" s="8" t="s">
        <v>293</v>
      </c>
      <c r="F13" s="8" t="s">
        <v>294</v>
      </c>
      <c r="G13" s="8" t="s">
        <v>28</v>
      </c>
      <c r="H13" s="10" t="str">
        <f aca="false">HYPERLINK("https://item.taobao.com/item.htm?id=630712731066","打开订单商品")</f>
        <v>打开订单商品</v>
      </c>
      <c r="I13" s="10" t="str">
        <f aca="false">HYPERLINK("https://item.szlcsc.com/16531.html","查看工程型号")</f>
        <v>查看工程型号</v>
      </c>
      <c r="J13" s="8" t="s">
        <v>29</v>
      </c>
      <c r="K13" s="8" t="s">
        <v>501</v>
      </c>
    </row>
    <row r="14" customFormat="false" ht="64" hidden="false" customHeight="true" outlineLevel="0" collapsed="false">
      <c r="A14" s="1" t="s">
        <v>307</v>
      </c>
      <c r="B14" s="8" t="s">
        <v>507</v>
      </c>
      <c r="C14" s="8" t="s">
        <v>221</v>
      </c>
      <c r="D14" s="1" t="s">
        <v>502</v>
      </c>
      <c r="E14" s="8" t="s">
        <v>293</v>
      </c>
      <c r="F14" s="8" t="s">
        <v>503</v>
      </c>
      <c r="G14" s="8" t="s">
        <v>43</v>
      </c>
      <c r="H14" s="10" t="str">
        <f aca="false">HYPERLINK("https://item.taobao.com/item.htm?id=731471380840","打开订单商品")</f>
        <v>打开订单商品</v>
      </c>
      <c r="I14" s="10" t="str">
        <f aca="false">HYPERLINK("https://item.szlcsc.com/25192.html","查看工程型号")</f>
        <v>查看工程型号</v>
      </c>
      <c r="J14" s="8" t="s">
        <v>44</v>
      </c>
      <c r="K14" s="8" t="s">
        <v>501</v>
      </c>
    </row>
    <row r="15" customFormat="false" ht="64" hidden="false" customHeight="true" outlineLevel="0" collapsed="false">
      <c r="A15" s="1" t="s">
        <v>308</v>
      </c>
      <c r="B15" s="8" t="s">
        <v>508</v>
      </c>
      <c r="C15" s="8" t="s">
        <v>221</v>
      </c>
      <c r="D15" s="1" t="s">
        <v>502</v>
      </c>
      <c r="E15" s="8" t="s">
        <v>293</v>
      </c>
      <c r="F15" s="8" t="s">
        <v>503</v>
      </c>
      <c r="G15" s="8" t="s">
        <v>43</v>
      </c>
      <c r="H15" s="10" t="str">
        <f aca="false">HYPERLINK("https://item.taobao.com/item.htm?id=731471380840","打开订单商品")</f>
        <v>打开订单商品</v>
      </c>
      <c r="I15" s="10" t="str">
        <f aca="false">HYPERLINK("https://item.szlcsc.com/25192.html","查看工程型号")</f>
        <v>查看工程型号</v>
      </c>
      <c r="J15" s="8" t="s">
        <v>44</v>
      </c>
      <c r="K15" s="8" t="s">
        <v>501</v>
      </c>
    </row>
    <row r="16" customFormat="false" ht="64" hidden="false" customHeight="true" outlineLevel="0" collapsed="false">
      <c r="A16" s="1" t="s">
        <v>311</v>
      </c>
      <c r="B16" s="8" t="s">
        <v>509</v>
      </c>
      <c r="C16" s="8" t="s">
        <v>224</v>
      </c>
      <c r="D16" s="1" t="s">
        <v>506</v>
      </c>
      <c r="E16" s="8" t="s">
        <v>293</v>
      </c>
      <c r="F16" s="8" t="s">
        <v>294</v>
      </c>
      <c r="G16" s="8" t="s">
        <v>28</v>
      </c>
      <c r="H16" s="10" t="str">
        <f aca="false">HYPERLINK("https://item.taobao.com/item.htm?id=630712731066","打开订单商品")</f>
        <v>打开订单商品</v>
      </c>
      <c r="I16" s="10" t="str">
        <f aca="false">HYPERLINK("https://item.szlcsc.com/16531.html","查看工程型号")</f>
        <v>查看工程型号</v>
      </c>
      <c r="J16" s="8" t="s">
        <v>29</v>
      </c>
      <c r="K16" s="8" t="s">
        <v>501</v>
      </c>
    </row>
    <row r="17" customFormat="false" ht="64" hidden="false" customHeight="true" outlineLevel="0" collapsed="false">
      <c r="A17" s="1" t="s">
        <v>312</v>
      </c>
      <c r="B17" s="8" t="s">
        <v>510</v>
      </c>
      <c r="C17" s="8" t="s">
        <v>221</v>
      </c>
      <c r="D17" s="1" t="s">
        <v>502</v>
      </c>
      <c r="E17" s="8" t="s">
        <v>293</v>
      </c>
      <c r="F17" s="8" t="s">
        <v>503</v>
      </c>
      <c r="G17" s="8" t="s">
        <v>43</v>
      </c>
      <c r="H17" s="10" t="str">
        <f aca="false">HYPERLINK("https://item.taobao.com/item.htm?id=731471380840","打开订单商品")</f>
        <v>打开订单商品</v>
      </c>
      <c r="I17" s="10" t="str">
        <f aca="false">HYPERLINK("https://item.szlcsc.com/25192.html","查看工程型号")</f>
        <v>查看工程型号</v>
      </c>
      <c r="J17" s="8" t="s">
        <v>44</v>
      </c>
      <c r="K17" s="8" t="s">
        <v>501</v>
      </c>
    </row>
    <row r="18" customFormat="false" ht="64" hidden="false" customHeight="true" outlineLevel="0" collapsed="false">
      <c r="A18" s="1" t="s">
        <v>65</v>
      </c>
      <c r="B18" s="8" t="s">
        <v>511</v>
      </c>
      <c r="C18" s="8" t="s">
        <v>226</v>
      </c>
      <c r="D18" s="1" t="s">
        <v>512</v>
      </c>
      <c r="E18" s="8" t="s">
        <v>373</v>
      </c>
      <c r="F18" s="8" t="s">
        <v>513</v>
      </c>
      <c r="G18" s="8" t="s">
        <v>176</v>
      </c>
      <c r="H18" s="10" t="str">
        <f aca="false">HYPERLINK("https://item.taobao.com/item.htm?id=891785167202","打开订单商品")</f>
        <v>打开订单商品</v>
      </c>
      <c r="I18" s="10" t="str">
        <f aca="false">HYPERLINK("https://www.lcsc.com/product-detail/C330094.html","查看工程型号")</f>
        <v>查看工程型号</v>
      </c>
      <c r="J18" s="8" t="s">
        <v>229</v>
      </c>
      <c r="K18" s="8" t="s">
        <v>501</v>
      </c>
    </row>
    <row r="19" customFormat="false" ht="64" hidden="false" customHeight="true" outlineLevel="0" collapsed="false">
      <c r="A19" s="1" t="s">
        <v>232</v>
      </c>
      <c r="B19" s="8" t="s">
        <v>514</v>
      </c>
      <c r="C19" s="8" t="s">
        <v>230</v>
      </c>
      <c r="D19" s="1" t="s">
        <v>515</v>
      </c>
      <c r="E19" s="8" t="s">
        <v>293</v>
      </c>
      <c r="F19" s="8" t="s">
        <v>516</v>
      </c>
      <c r="G19" s="8" t="s">
        <v>234</v>
      </c>
      <c r="H19" s="10" t="str">
        <f aca="false">HYPERLINK("https://item.taobao.com/item.htm?id=1025817117811","打开订单商品")</f>
        <v>打开订单商品</v>
      </c>
      <c r="I19" s="10" t="str">
        <f aca="false">HYPERLINK("https://www.lcsc.com/product-detail/Light-Emitting-Diodes-LED_Everlight-Elec-19-217-GHC-YR1S2-3T_C72043.html","查看工程型号")</f>
        <v>查看工程型号</v>
      </c>
      <c r="J19" s="8" t="s">
        <v>235</v>
      </c>
      <c r="K19" s="8" t="s">
        <v>501</v>
      </c>
    </row>
    <row r="20" customFormat="false" ht="64" hidden="false" customHeight="true" outlineLevel="0" collapsed="false">
      <c r="A20" s="1" t="s">
        <v>108</v>
      </c>
      <c r="B20" s="8" t="s">
        <v>517</v>
      </c>
      <c r="C20" s="8" t="s">
        <v>106</v>
      </c>
      <c r="D20" s="1" t="s">
        <v>400</v>
      </c>
      <c r="E20" s="8" t="s">
        <v>385</v>
      </c>
      <c r="F20" s="8" t="s">
        <v>386</v>
      </c>
      <c r="G20" s="8" t="s">
        <v>109</v>
      </c>
      <c r="H20" s="10" t="str">
        <f aca="false">HYPERLINK("https://item.taobao.com/item.htm?id=832569969546","打开订单商品")</f>
        <v>打开订单商品</v>
      </c>
      <c r="I20" s="10" t="str">
        <f aca="false">HYPERLINK("https://item.szlcsc.com/171639.html","查看工程型号")</f>
        <v>查看工程型号</v>
      </c>
      <c r="J20" s="8" t="s">
        <v>110</v>
      </c>
      <c r="K20" s="8" t="s">
        <v>501</v>
      </c>
    </row>
    <row r="21" customFormat="false" ht="64" hidden="false" customHeight="true" outlineLevel="0" collapsed="false">
      <c r="A21" s="1" t="s">
        <v>238</v>
      </c>
      <c r="B21" s="8" t="s">
        <v>518</v>
      </c>
      <c r="C21" s="8" t="s">
        <v>236</v>
      </c>
      <c r="D21" s="1" t="s">
        <v>519</v>
      </c>
      <c r="E21" s="8" t="s">
        <v>520</v>
      </c>
      <c r="F21" s="8" t="s">
        <v>391</v>
      </c>
      <c r="G21" s="8" t="s">
        <v>240</v>
      </c>
      <c r="H21" s="10" t="str">
        <f aca="false">HYPERLINK("https://item.taobao.com/item.htm?id=606816197525","打开订单商品")</f>
        <v>打开订单商品</v>
      </c>
      <c r="I21" s="10" t="str">
        <f aca="false">HYPERLINK("https://item.szlcsc.com/502960.html","查看工程型号")</f>
        <v>查看工程型号</v>
      </c>
      <c r="J21" s="8" t="s">
        <v>241</v>
      </c>
      <c r="K21" s="8" t="s">
        <v>501</v>
      </c>
    </row>
    <row r="22" customFormat="false" ht="64" hidden="false" customHeight="true" outlineLevel="0" collapsed="false">
      <c r="A22" s="1" t="s">
        <v>147</v>
      </c>
      <c r="B22" s="8" t="s">
        <v>521</v>
      </c>
      <c r="C22" s="8" t="s">
        <v>144</v>
      </c>
      <c r="D22" s="1" t="s">
        <v>423</v>
      </c>
      <c r="E22" s="8" t="s">
        <v>293</v>
      </c>
      <c r="F22" s="8" t="s">
        <v>424</v>
      </c>
      <c r="G22" s="8" t="s">
        <v>148</v>
      </c>
      <c r="H22" s="10" t="str">
        <f aca="false">HYPERLINK("https://item.taobao.com/item.htm?id=947267344247","打开订单商品")</f>
        <v>打开订单商品</v>
      </c>
      <c r="I22" s="10" t="str">
        <f aca="false">HYPERLINK("https://item.szlcsc.com/21903.html","查看工程型号")</f>
        <v>查看工程型号</v>
      </c>
      <c r="J22" s="8" t="s">
        <v>149</v>
      </c>
      <c r="K22" s="8" t="s">
        <v>501</v>
      </c>
    </row>
    <row r="23" customFormat="false" ht="64" hidden="false" customHeight="true" outlineLevel="0" collapsed="false">
      <c r="A23" s="1" t="s">
        <v>420</v>
      </c>
      <c r="B23" s="8" t="s">
        <v>522</v>
      </c>
      <c r="C23" s="8" t="s">
        <v>137</v>
      </c>
      <c r="D23" s="1" t="s">
        <v>418</v>
      </c>
      <c r="E23" s="8" t="s">
        <v>293</v>
      </c>
      <c r="F23" s="8" t="s">
        <v>419</v>
      </c>
      <c r="G23" s="8" t="s">
        <v>142</v>
      </c>
      <c r="H23" s="10" t="str">
        <f aca="false">HYPERLINK("https://item.taobao.com/item.htm?id=947267344247","打开订单商品")</f>
        <v>打开订单商品</v>
      </c>
      <c r="I23" s="10" t="str">
        <f aca="false">HYPERLINK("https://item.szlcsc.com/99429.html","查看工程型号")</f>
        <v>查看工程型号</v>
      </c>
      <c r="J23" s="8" t="s">
        <v>143</v>
      </c>
      <c r="K23" s="8" t="s">
        <v>501</v>
      </c>
    </row>
    <row r="24" customFormat="false" ht="64" hidden="false" customHeight="true" outlineLevel="0" collapsed="false">
      <c r="A24" s="1" t="s">
        <v>244</v>
      </c>
      <c r="B24" s="8" t="s">
        <v>523</v>
      </c>
      <c r="C24" s="8" t="s">
        <v>242</v>
      </c>
      <c r="D24" s="1" t="s">
        <v>524</v>
      </c>
      <c r="E24" s="8" t="s">
        <v>293</v>
      </c>
      <c r="F24" s="8" t="s">
        <v>525</v>
      </c>
      <c r="G24" s="8" t="s">
        <v>245</v>
      </c>
      <c r="H24" s="10" t="str">
        <f aca="false">HYPERLINK("https://item.taobao.com/item.htm?id=947267344247","打开订单商品")</f>
        <v>打开订单商品</v>
      </c>
      <c r="I24" s="10" t="str">
        <f aca="false">HYPERLINK("https://item.szlcsc.com/15343.html","查看工程型号")</f>
        <v>查看工程型号</v>
      </c>
      <c r="J24" s="8" t="s">
        <v>246</v>
      </c>
      <c r="K24" s="8" t="s">
        <v>501</v>
      </c>
    </row>
    <row r="25" customFormat="false" ht="64" hidden="false" customHeight="true" outlineLevel="0" collapsed="false">
      <c r="A25" s="1" t="s">
        <v>425</v>
      </c>
      <c r="B25" s="8" t="s">
        <v>526</v>
      </c>
      <c r="C25" s="8" t="s">
        <v>137</v>
      </c>
      <c r="D25" s="1" t="s">
        <v>418</v>
      </c>
      <c r="E25" s="8" t="s">
        <v>293</v>
      </c>
      <c r="F25" s="8" t="s">
        <v>419</v>
      </c>
      <c r="G25" s="8" t="s">
        <v>142</v>
      </c>
      <c r="H25" s="10" t="str">
        <f aca="false">HYPERLINK("https://item.taobao.com/item.htm?id=947267344247","打开订单商品")</f>
        <v>打开订单商品</v>
      </c>
      <c r="I25" s="10" t="str">
        <f aca="false">HYPERLINK("https://item.szlcsc.com/99429.html","查看工程型号")</f>
        <v>查看工程型号</v>
      </c>
      <c r="J25" s="8" t="s">
        <v>143</v>
      </c>
      <c r="K25" s="8" t="s">
        <v>501</v>
      </c>
    </row>
    <row r="26" customFormat="false" ht="64" hidden="false" customHeight="true" outlineLevel="0" collapsed="false">
      <c r="A26" s="1" t="s">
        <v>427</v>
      </c>
      <c r="B26" s="8" t="s">
        <v>527</v>
      </c>
      <c r="C26" s="8" t="s">
        <v>137</v>
      </c>
      <c r="D26" s="1" t="s">
        <v>418</v>
      </c>
      <c r="E26" s="8" t="s">
        <v>293</v>
      </c>
      <c r="F26" s="8" t="s">
        <v>419</v>
      </c>
      <c r="G26" s="8" t="s">
        <v>142</v>
      </c>
      <c r="H26" s="10" t="str">
        <f aca="false">HYPERLINK("https://item.taobao.com/item.htm?id=947267344247","打开订单商品")</f>
        <v>打开订单商品</v>
      </c>
      <c r="I26" s="10" t="str">
        <f aca="false">HYPERLINK("https://item.szlcsc.com/99429.html","查看工程型号")</f>
        <v>查看工程型号</v>
      </c>
      <c r="J26" s="8" t="s">
        <v>143</v>
      </c>
      <c r="K26" s="8" t="s">
        <v>501</v>
      </c>
    </row>
    <row r="27" customFormat="false" ht="64" hidden="false" customHeight="true" outlineLevel="0" collapsed="false">
      <c r="A27" s="1" t="s">
        <v>249</v>
      </c>
      <c r="B27" s="8" t="s">
        <v>528</v>
      </c>
      <c r="C27" s="8" t="s">
        <v>247</v>
      </c>
      <c r="D27" s="1" t="s">
        <v>529</v>
      </c>
      <c r="E27" s="8" t="s">
        <v>293</v>
      </c>
      <c r="F27" s="8" t="s">
        <v>530</v>
      </c>
      <c r="G27" s="8" t="s">
        <v>250</v>
      </c>
      <c r="H27" s="10" t="str">
        <f aca="false">HYPERLINK("https://item.taobao.com/item.htm?id=947267344247","打开订单商品")</f>
        <v>打开订单商品</v>
      </c>
      <c r="I27" s="10" t="str">
        <f aca="false">HYPERLINK("https://item.szlcsc.com/23867.html","查看工程型号")</f>
        <v>查看工程型号</v>
      </c>
      <c r="J27" s="8" t="s">
        <v>251</v>
      </c>
      <c r="K27" s="8" t="s">
        <v>501</v>
      </c>
    </row>
    <row r="28" customFormat="false" ht="64" hidden="false" customHeight="true" outlineLevel="0" collapsed="false">
      <c r="A28" s="1" t="s">
        <v>254</v>
      </c>
      <c r="B28" s="8" t="s">
        <v>531</v>
      </c>
      <c r="C28" s="8" t="s">
        <v>252</v>
      </c>
      <c r="D28" s="1" t="s">
        <v>532</v>
      </c>
      <c r="E28" s="8" t="s">
        <v>293</v>
      </c>
      <c r="F28" s="8" t="s">
        <v>533</v>
      </c>
      <c r="G28" s="8" t="s">
        <v>255</v>
      </c>
      <c r="H28" s="10" t="str">
        <f aca="false">HYPERLINK("https://item.taobao.com/item.htm?id=947267344247","打开订单商品")</f>
        <v>打开订单商品</v>
      </c>
      <c r="I28" s="10" t="str">
        <f aca="false">HYPERLINK("https://item.szlcsc.com/21904.html","查看工程型号")</f>
        <v>查看工程型号</v>
      </c>
      <c r="J28" s="8" t="s">
        <v>256</v>
      </c>
      <c r="K28" s="8" t="s">
        <v>501</v>
      </c>
    </row>
    <row r="29" customFormat="false" ht="64" hidden="false" customHeight="true" outlineLevel="0" collapsed="false">
      <c r="A29" s="1" t="s">
        <v>169</v>
      </c>
      <c r="B29" s="8" t="s">
        <v>257</v>
      </c>
      <c r="C29" s="8" t="s">
        <v>257</v>
      </c>
      <c r="D29" s="1" t="s">
        <v>534</v>
      </c>
      <c r="E29" s="8" t="s">
        <v>535</v>
      </c>
      <c r="F29" s="8" t="s">
        <v>536</v>
      </c>
      <c r="G29" s="8" t="s">
        <v>260</v>
      </c>
      <c r="H29" s="10" t="str">
        <f aca="false">HYPERLINK("https://item.taobao.com/item.htm?id=726808419708","打开订单商品")</f>
        <v>打开订单商品</v>
      </c>
      <c r="I29" s="10" t="str">
        <f aca="false">HYPERLINK("https://item.szlcsc.com/549612.html","查看工程型号")</f>
        <v>查看工程型号</v>
      </c>
      <c r="J29" s="8" t="s">
        <v>261</v>
      </c>
      <c r="K29" s="8" t="s">
        <v>501</v>
      </c>
    </row>
    <row r="30" customFormat="false" ht="64" hidden="false" customHeight="true" outlineLevel="0" collapsed="false">
      <c r="A30" s="1" t="s">
        <v>174</v>
      </c>
      <c r="B30" s="8" t="s">
        <v>262</v>
      </c>
      <c r="C30" s="8" t="s">
        <v>262</v>
      </c>
      <c r="D30" s="1" t="s">
        <v>537</v>
      </c>
      <c r="E30" s="8" t="s">
        <v>538</v>
      </c>
      <c r="F30" s="8" t="s">
        <v>539</v>
      </c>
      <c r="G30" s="8" t="s">
        <v>262</v>
      </c>
      <c r="H30" s="10" t="str">
        <f aca="false">HYPERLINK("https://item.taobao.com/item.htm?id=640391703111","打开订单商品")</f>
        <v>打开订单商品</v>
      </c>
      <c r="I30" s="10" t="str">
        <f aca="false">HYPERLINK("https://item.szlcsc.com/5993815.html","查看工程型号")</f>
        <v>查看工程型号</v>
      </c>
      <c r="J30" s="8" t="s">
        <v>265</v>
      </c>
      <c r="K30" s="8" t="s">
        <v>501</v>
      </c>
    </row>
    <row r="31" customFormat="false" ht="64" hidden="false" customHeight="true" outlineLevel="0" collapsed="false">
      <c r="A31" s="1" t="s">
        <v>180</v>
      </c>
      <c r="B31" s="8" t="s">
        <v>266</v>
      </c>
      <c r="C31" s="8" t="s">
        <v>266</v>
      </c>
      <c r="D31" s="1" t="s">
        <v>540</v>
      </c>
      <c r="E31" s="8" t="s">
        <v>475</v>
      </c>
      <c r="F31" s="8" t="s">
        <v>541</v>
      </c>
      <c r="G31" s="8" t="s">
        <v>266</v>
      </c>
      <c r="H31" s="10" t="str">
        <f aca="false">HYPERLINK("https://item.taobao.com/item.htm?id=747094785928","打开订单商品")</f>
        <v>打开订单商品</v>
      </c>
      <c r="I31" s="10" t="str">
        <f aca="false">HYPERLINK("https://www.lcsc.com/product-detail/C94917.html","查看工程型号")</f>
        <v>查看工程型号</v>
      </c>
      <c r="J31" s="8" t="s">
        <v>269</v>
      </c>
      <c r="K31" s="8" t="s">
        <v>501</v>
      </c>
    </row>
    <row r="32" customFormat="false" ht="64" hidden="false" customHeight="true" outlineLevel="0" collapsed="false">
      <c r="A32" s="1" t="s">
        <v>272</v>
      </c>
      <c r="B32" s="8" t="s">
        <v>270</v>
      </c>
      <c r="C32" s="8" t="s">
        <v>270</v>
      </c>
      <c r="D32" s="1" t="s">
        <v>542</v>
      </c>
      <c r="E32" s="8" t="s">
        <v>543</v>
      </c>
      <c r="F32" s="8" t="s">
        <v>544</v>
      </c>
      <c r="G32" s="8" t="s">
        <v>176</v>
      </c>
      <c r="H32" s="10" t="str">
        <f aca="false">HYPERLINK("https://item.taobao.com/item.htm?id=705642638300","打开订单商品")</f>
        <v>打开订单商品</v>
      </c>
      <c r="I32" s="10" t="str">
        <f aca="false">HYPERLINK("https://www.lcsc.com/product-detail/C21404.html","查看工程型号")</f>
        <v>查看工程型号</v>
      </c>
      <c r="J32" s="8" t="s">
        <v>274</v>
      </c>
      <c r="K32" s="8" t="s">
        <v>501</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K4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51"/>
    <col collapsed="false" customWidth="true" hidden="false" outlineLevel="0" max="4" min="4" style="0" width="30"/>
    <col collapsed="false" customWidth="true" hidden="false" outlineLevel="0" max="5" min="5" style="0" width="28"/>
    <col collapsed="false" customWidth="true" hidden="false" outlineLevel="0" max="6" min="6" style="0" width="20"/>
    <col collapsed="false" customWidth="true" hidden="false" outlineLevel="0" max="7" min="7" style="0" width="55"/>
    <col collapsed="false" customWidth="true" hidden="false" outlineLevel="0" max="8" min="8" style="0" width="14"/>
    <col collapsed="false" customWidth="true" hidden="false" outlineLevel="0" max="9" min="9" style="0" width="66"/>
    <col collapsed="false" customWidth="true" hidden="false" outlineLevel="0" max="10" min="10" style="0" width="12"/>
    <col collapsed="false" customWidth="true" hidden="false" outlineLevel="0" max="11" min="11" style="0" width="20"/>
  </cols>
  <sheetData>
    <row r="1" customFormat="false" ht="24" hidden="false" customHeight="true" outlineLevel="0" collapsed="false">
      <c r="A1" s="1"/>
      <c r="B1" s="1"/>
      <c r="C1" s="1"/>
      <c r="D1" s="1"/>
      <c r="E1" s="1"/>
      <c r="F1" s="1"/>
      <c r="G1" s="1"/>
      <c r="H1" s="1"/>
      <c r="I1" s="1"/>
      <c r="J1" s="1"/>
    </row>
    <row r="2" customFormat="false" ht="30" hidden="false" customHeight="true" outlineLevel="0" collapsed="false">
      <c r="A2" s="13" t="s">
        <v>545</v>
      </c>
      <c r="B2" s="3"/>
      <c r="C2" s="3"/>
      <c r="D2" s="3"/>
      <c r="E2" s="3"/>
      <c r="F2" s="3"/>
      <c r="G2" s="3"/>
      <c r="H2" s="3"/>
      <c r="I2" s="3"/>
      <c r="J2" s="3"/>
    </row>
    <row r="3" customFormat="false" ht="24" hidden="false" customHeight="true" outlineLevel="0" collapsed="false">
      <c r="A3" s="4" t="s">
        <v>546</v>
      </c>
      <c r="B3" s="1"/>
      <c r="C3" s="1"/>
      <c r="D3" s="1"/>
      <c r="E3" s="1"/>
      <c r="F3" s="1"/>
      <c r="G3" s="1"/>
      <c r="H3" s="1"/>
      <c r="I3" s="1"/>
      <c r="J3" s="1"/>
    </row>
    <row r="4" customFormat="false" ht="24" hidden="false" customHeight="true" outlineLevel="0" collapsed="false">
      <c r="A4" s="1" t="s">
        <v>547</v>
      </c>
      <c r="B4" s="1"/>
      <c r="C4" s="1"/>
      <c r="D4" s="1"/>
      <c r="E4" s="1"/>
      <c r="F4" s="1"/>
      <c r="G4" s="1"/>
      <c r="H4" s="1"/>
      <c r="I4" s="1"/>
      <c r="J4" s="1"/>
    </row>
    <row r="5" customFormat="false" ht="24" hidden="false" customHeight="true" outlineLevel="0" collapsed="false">
      <c r="A5" s="1" t="s">
        <v>548</v>
      </c>
      <c r="B5" s="1"/>
      <c r="C5" s="1"/>
      <c r="D5" s="1"/>
      <c r="E5" s="1"/>
      <c r="F5" s="1"/>
      <c r="G5" s="1"/>
      <c r="H5" s="1"/>
      <c r="I5" s="1"/>
      <c r="J5" s="1"/>
    </row>
    <row r="6" customFormat="false" ht="38" hidden="false" customHeight="true" outlineLevel="0" collapsed="false">
      <c r="A6" s="14" t="s">
        <v>8</v>
      </c>
      <c r="B6" s="14" t="s">
        <v>549</v>
      </c>
      <c r="C6" s="14" t="s">
        <v>550</v>
      </c>
      <c r="D6" s="14" t="s">
        <v>551</v>
      </c>
      <c r="E6" s="14" t="s">
        <v>16</v>
      </c>
      <c r="F6" s="14" t="s">
        <v>552</v>
      </c>
      <c r="G6" s="14" t="s">
        <v>553</v>
      </c>
      <c r="H6" s="14" t="s">
        <v>554</v>
      </c>
      <c r="I6" s="14" t="s">
        <v>22</v>
      </c>
      <c r="J6" s="15" t="s">
        <v>555</v>
      </c>
      <c r="K6" s="16" t="s">
        <v>556</v>
      </c>
    </row>
    <row r="7" customFormat="false" ht="80" hidden="false" customHeight="true" outlineLevel="0" collapsed="false">
      <c r="A7" s="8" t="s">
        <v>557</v>
      </c>
      <c r="B7" s="8" t="s">
        <v>558</v>
      </c>
      <c r="C7" s="8" t="s">
        <v>559</v>
      </c>
      <c r="D7" s="8" t="s">
        <v>560</v>
      </c>
      <c r="E7" s="8" t="s">
        <v>561</v>
      </c>
      <c r="F7" s="17" t="str">
        <f aca="false">HYPERLINK("https://www.jlc.com/","PCB打样入口")</f>
        <v>PCB打样入口</v>
      </c>
      <c r="G7" s="8" t="s">
        <v>562</v>
      </c>
      <c r="H7" s="1"/>
      <c r="I7" s="8" t="s">
        <v>563</v>
      </c>
      <c r="J7" s="8" t="s">
        <v>564</v>
      </c>
      <c r="K7" s="18"/>
    </row>
    <row r="8" customFormat="false" ht="80" hidden="false" customHeight="true" outlineLevel="0" collapsed="false">
      <c r="A8" s="8" t="s">
        <v>557</v>
      </c>
      <c r="B8" s="8" t="s">
        <v>565</v>
      </c>
      <c r="C8" s="8" t="s">
        <v>566</v>
      </c>
      <c r="D8" s="8" t="s">
        <v>560</v>
      </c>
      <c r="E8" s="8" t="s">
        <v>561</v>
      </c>
      <c r="F8" s="17" t="str">
        <f aca="false">HYPERLINK("https://www.jlc.com/","PCB打样入口")</f>
        <v>PCB打样入口</v>
      </c>
      <c r="G8" s="8" t="s">
        <v>562</v>
      </c>
      <c r="H8" s="1"/>
      <c r="I8" s="8" t="s">
        <v>567</v>
      </c>
      <c r="J8" s="8" t="s">
        <v>564</v>
      </c>
      <c r="K8" s="18"/>
    </row>
    <row r="9" customFormat="false" ht="80" hidden="false" customHeight="true" outlineLevel="0" collapsed="false">
      <c r="A9" s="8" t="s">
        <v>568</v>
      </c>
      <c r="B9" s="8" t="s">
        <v>569</v>
      </c>
      <c r="C9" s="8" t="s">
        <v>570</v>
      </c>
      <c r="D9" s="8" t="s">
        <v>571</v>
      </c>
      <c r="E9" s="8" t="s">
        <v>91</v>
      </c>
      <c r="F9" s="17" t="str">
        <f aca="false">HYPERLINK("https://item.taobao.com/item.htm?id=832569969546","打开订单商品")</f>
        <v>打开订单商品</v>
      </c>
      <c r="G9" s="8" t="s">
        <v>572</v>
      </c>
      <c r="H9" s="1" t="n">
        <v>50</v>
      </c>
      <c r="I9" s="8" t="s">
        <v>573</v>
      </c>
      <c r="J9" s="8" t="n">
        <v>82</v>
      </c>
      <c r="K9" s="18" t="n">
        <v>2.2</v>
      </c>
    </row>
    <row r="10" customFormat="false" ht="80" hidden="false" customHeight="true" outlineLevel="0" collapsed="false">
      <c r="A10" s="8" t="s">
        <v>568</v>
      </c>
      <c r="B10" s="8" t="s">
        <v>574</v>
      </c>
      <c r="C10" s="8" t="s">
        <v>575</v>
      </c>
      <c r="D10" s="8" t="s">
        <v>576</v>
      </c>
      <c r="E10" s="8" t="s">
        <v>91</v>
      </c>
      <c r="F10" s="17" t="str">
        <f aca="false">HYPERLINK("https://item.taobao.com/item.htm?id=832569969546","打开订单商品")</f>
        <v>打开订单商品</v>
      </c>
      <c r="G10" s="8" t="s">
        <v>577</v>
      </c>
      <c r="H10" s="1" t="n">
        <v>50</v>
      </c>
      <c r="I10" s="8" t="s">
        <v>578</v>
      </c>
      <c r="J10" s="8" t="n">
        <v>81</v>
      </c>
      <c r="K10" s="18" t="n">
        <v>2.8</v>
      </c>
    </row>
    <row r="11" customFormat="false" ht="80" hidden="false" customHeight="true" outlineLevel="0" collapsed="false">
      <c r="A11" s="8" t="s">
        <v>568</v>
      </c>
      <c r="B11" s="8" t="s">
        <v>579</v>
      </c>
      <c r="C11" s="8" t="s">
        <v>580</v>
      </c>
      <c r="D11" s="8" t="s">
        <v>581</v>
      </c>
      <c r="E11" s="8" t="s">
        <v>91</v>
      </c>
      <c r="F11" s="17" t="str">
        <f aca="false">HYPERLINK("https://item.taobao.com/item.htm?id=832569969546","打开订单商品")</f>
        <v>打开订单商品</v>
      </c>
      <c r="G11" s="8" t="s">
        <v>582</v>
      </c>
      <c r="H11" s="1" t="n">
        <v>100</v>
      </c>
      <c r="I11" s="8" t="s">
        <v>583</v>
      </c>
      <c r="J11" s="8" t="n">
        <v>83</v>
      </c>
      <c r="K11" s="18" t="n">
        <v>3.5</v>
      </c>
    </row>
    <row r="12" customFormat="false" ht="80" hidden="false" customHeight="true" outlineLevel="0" collapsed="false">
      <c r="A12" s="8" t="s">
        <v>584</v>
      </c>
      <c r="B12" s="8" t="s">
        <v>585</v>
      </c>
      <c r="C12" s="8" t="s">
        <v>586</v>
      </c>
      <c r="D12" s="8" t="s">
        <v>587</v>
      </c>
      <c r="E12" s="8" t="s">
        <v>103</v>
      </c>
      <c r="F12" s="17" t="str">
        <f aca="false">HYPERLINK("https://item.taobao.com/item.htm?id=895049863252","打开订单商品")</f>
        <v>打开订单商品</v>
      </c>
      <c r="G12" s="8" t="s">
        <v>588</v>
      </c>
      <c r="H12" s="1" t="n">
        <v>5</v>
      </c>
      <c r="I12" s="8" t="s">
        <v>589</v>
      </c>
      <c r="J12" s="8" t="n">
        <v>77</v>
      </c>
      <c r="K12" s="18" t="n">
        <v>4.56</v>
      </c>
    </row>
    <row r="13" customFormat="false" ht="80" hidden="false" customHeight="true" outlineLevel="0" collapsed="false">
      <c r="A13" s="8" t="s">
        <v>590</v>
      </c>
      <c r="B13" s="8" t="s">
        <v>591</v>
      </c>
      <c r="C13" s="8" t="s">
        <v>592</v>
      </c>
      <c r="D13" s="8" t="s">
        <v>593</v>
      </c>
      <c r="E13" s="8" t="s">
        <v>228</v>
      </c>
      <c r="F13" s="17" t="str">
        <f aca="false">HYPERLINK("https://item.taobao.com/item.htm?id=683920556900","打开订单商品")</f>
        <v>打开订单商品</v>
      </c>
      <c r="G13" s="8" t="s">
        <v>594</v>
      </c>
      <c r="H13" s="1" t="n">
        <v>1</v>
      </c>
      <c r="I13" s="8" t="s">
        <v>595</v>
      </c>
      <c r="J13" s="8" t="n">
        <v>103</v>
      </c>
      <c r="K13" s="18" t="n">
        <v>3.08</v>
      </c>
    </row>
    <row r="14" customFormat="false" ht="80" hidden="false" customHeight="true" outlineLevel="0" collapsed="false">
      <c r="A14" s="8" t="s">
        <v>590</v>
      </c>
      <c r="B14" s="8" t="s">
        <v>596</v>
      </c>
      <c r="C14" s="8" t="s">
        <v>597</v>
      </c>
      <c r="D14" s="8" t="s">
        <v>598</v>
      </c>
      <c r="E14" s="8" t="s">
        <v>599</v>
      </c>
      <c r="F14" s="17" t="str">
        <f aca="false">HYPERLINK("https://item.taobao.com/item.htm?id=737603917521","打开订单商品")</f>
        <v>打开订单商品</v>
      </c>
      <c r="G14" s="8" t="s">
        <v>600</v>
      </c>
      <c r="H14" s="1" t="n">
        <v>1</v>
      </c>
      <c r="I14" s="8" t="s">
        <v>601</v>
      </c>
      <c r="J14" s="8" t="n">
        <v>92</v>
      </c>
      <c r="K14" s="18" t="n">
        <v>49.5</v>
      </c>
    </row>
    <row r="15" customFormat="false" ht="80" hidden="false" customHeight="true" outlineLevel="0" collapsed="false">
      <c r="A15" s="8" t="s">
        <v>602</v>
      </c>
      <c r="B15" s="8" t="s">
        <v>603</v>
      </c>
      <c r="C15" s="8" t="s">
        <v>604</v>
      </c>
      <c r="D15" s="8" t="s">
        <v>605</v>
      </c>
      <c r="E15" s="8" t="s">
        <v>606</v>
      </c>
      <c r="F15" s="17" t="str">
        <f aca="false">HYPERLINK("https://item.taobao.com/item.htm?id=763812025816","打开订单商品")</f>
        <v>打开订单商品</v>
      </c>
      <c r="G15" s="8" t="s">
        <v>607</v>
      </c>
      <c r="H15" s="1" t="n">
        <v>1</v>
      </c>
      <c r="I15" s="8" t="s">
        <v>608</v>
      </c>
      <c r="J15" s="8" t="n">
        <v>100</v>
      </c>
      <c r="K15" s="18" t="n">
        <v>309</v>
      </c>
    </row>
    <row r="16" customFormat="false" ht="80" hidden="false" customHeight="true" outlineLevel="0" collapsed="false">
      <c r="A16" s="8" t="s">
        <v>609</v>
      </c>
      <c r="B16" s="8" t="s">
        <v>610</v>
      </c>
      <c r="C16" s="8" t="s">
        <v>611</v>
      </c>
      <c r="D16" s="8" t="s">
        <v>612</v>
      </c>
      <c r="E16" s="8" t="s">
        <v>613</v>
      </c>
      <c r="F16" s="17" t="str">
        <f aca="false">HYPERLINK("https://item.taobao.com/item.htm?id=1078248851201","打开订单商品")</f>
        <v>打开订单商品</v>
      </c>
      <c r="G16" s="8" t="s">
        <v>611</v>
      </c>
      <c r="H16" s="1" t="n">
        <v>1</v>
      </c>
      <c r="I16" s="8" t="s">
        <v>614</v>
      </c>
      <c r="J16" s="8" t="n">
        <v>104</v>
      </c>
      <c r="K16" s="18" t="n">
        <v>99</v>
      </c>
    </row>
    <row r="17" customFormat="false" ht="80" hidden="false" customHeight="true" outlineLevel="0" collapsed="false">
      <c r="A17" s="8" t="s">
        <v>615</v>
      </c>
      <c r="B17" s="8" t="s">
        <v>616</v>
      </c>
      <c r="C17" s="8" t="s">
        <v>617</v>
      </c>
      <c r="D17" s="8" t="s">
        <v>618</v>
      </c>
      <c r="E17" s="8" t="s">
        <v>606</v>
      </c>
      <c r="F17" s="17" t="str">
        <f aca="false">HYPERLINK("https://item.taobao.com/item.htm?id=768918125679","打开订单商品")</f>
        <v>打开订单商品</v>
      </c>
      <c r="G17" s="8" t="s">
        <v>619</v>
      </c>
      <c r="H17" s="1" t="n">
        <v>1</v>
      </c>
      <c r="I17" s="8" t="s">
        <v>620</v>
      </c>
      <c r="J17" s="8" t="n">
        <v>180</v>
      </c>
      <c r="K17" s="18" t="n">
        <v>129.99</v>
      </c>
    </row>
    <row r="18" customFormat="false" ht="80" hidden="false" customHeight="true" outlineLevel="0" collapsed="false">
      <c r="A18" s="8" t="s">
        <v>621</v>
      </c>
      <c r="B18" s="8" t="s">
        <v>622</v>
      </c>
      <c r="C18" s="8" t="s">
        <v>623</v>
      </c>
      <c r="D18" s="8" t="s">
        <v>624</v>
      </c>
      <c r="E18" s="8" t="s">
        <v>625</v>
      </c>
      <c r="F18" s="17" t="str">
        <f aca="false">HYPERLINK("https://item.taobao.com/item.htm?id=585415365001","打开订单商品")</f>
        <v>打开订单商品</v>
      </c>
      <c r="G18" s="8" t="s">
        <v>626</v>
      </c>
      <c r="H18" s="1" t="n">
        <v>1</v>
      </c>
      <c r="I18" s="8" t="s">
        <v>627</v>
      </c>
      <c r="J18" s="8" t="n">
        <v>22</v>
      </c>
      <c r="K18" s="18" t="n">
        <v>84.59</v>
      </c>
    </row>
    <row r="19" customFormat="false" ht="80" hidden="false" customHeight="true" outlineLevel="0" collapsed="false">
      <c r="A19" s="8" t="s">
        <v>628</v>
      </c>
      <c r="B19" s="8" t="s">
        <v>629</v>
      </c>
      <c r="C19" s="8" t="s">
        <v>630</v>
      </c>
      <c r="D19" s="8" t="s">
        <v>631</v>
      </c>
      <c r="E19" s="8" t="s">
        <v>632</v>
      </c>
      <c r="F19" s="17" t="str">
        <f aca="false">HYPERLINK("https://item.taobao.com/item.htm?id=825340808235","打开订单商品")</f>
        <v>打开订单商品</v>
      </c>
      <c r="G19" s="8" t="s">
        <v>633</v>
      </c>
      <c r="H19" s="1" t="n">
        <v>1</v>
      </c>
      <c r="I19" s="8" t="s">
        <v>634</v>
      </c>
      <c r="J19" s="8" t="n">
        <v>6</v>
      </c>
      <c r="K19" s="18" t="n">
        <v>0.9</v>
      </c>
    </row>
    <row r="20" customFormat="false" ht="80" hidden="false" customHeight="true" outlineLevel="0" collapsed="false">
      <c r="A20" s="8" t="s">
        <v>628</v>
      </c>
      <c r="B20" s="8" t="s">
        <v>635</v>
      </c>
      <c r="C20" s="8" t="s">
        <v>636</v>
      </c>
      <c r="D20" s="8" t="s">
        <v>631</v>
      </c>
      <c r="E20" s="8" t="s">
        <v>632</v>
      </c>
      <c r="F20" s="17" t="str">
        <f aca="false">HYPERLINK("https://item.taobao.com/item.htm?id=825340808235","打开订单商品")</f>
        <v>打开订单商品</v>
      </c>
      <c r="G20" s="8" t="s">
        <v>637</v>
      </c>
      <c r="H20" s="1" t="n">
        <v>1</v>
      </c>
      <c r="I20" s="8" t="s">
        <v>638</v>
      </c>
      <c r="J20" s="8" t="n">
        <v>36</v>
      </c>
      <c r="K20" s="18" t="n">
        <v>0.9</v>
      </c>
    </row>
    <row r="21" customFormat="false" ht="80" hidden="false" customHeight="true" outlineLevel="0" collapsed="false">
      <c r="A21" s="8" t="s">
        <v>639</v>
      </c>
      <c r="B21" s="8" t="s">
        <v>640</v>
      </c>
      <c r="C21" s="8" t="s">
        <v>641</v>
      </c>
      <c r="D21" s="8" t="s">
        <v>642</v>
      </c>
      <c r="E21" s="8" t="s">
        <v>643</v>
      </c>
      <c r="F21" s="17" t="str">
        <f aca="false">HYPERLINK("https://item.taobao.com/item.htm?id=781764816472","打开订单商品")</f>
        <v>打开订单商品</v>
      </c>
      <c r="G21" s="8" t="s">
        <v>644</v>
      </c>
      <c r="H21" s="1" t="n">
        <v>1</v>
      </c>
      <c r="I21" s="8" t="s">
        <v>645</v>
      </c>
      <c r="J21" s="8" t="n">
        <v>29</v>
      </c>
      <c r="K21" s="18" t="n">
        <v>3.63</v>
      </c>
    </row>
    <row r="22" customFormat="false" ht="80" hidden="false" customHeight="true" outlineLevel="0" collapsed="false">
      <c r="A22" s="8" t="s">
        <v>639</v>
      </c>
      <c r="B22" s="8" t="s">
        <v>646</v>
      </c>
      <c r="C22" s="8" t="s">
        <v>647</v>
      </c>
      <c r="D22" s="8" t="s">
        <v>648</v>
      </c>
      <c r="E22" s="8" t="s">
        <v>649</v>
      </c>
      <c r="F22" s="17" t="str">
        <f aca="false">HYPERLINK("https://item.taobao.com/item.htm?id=736162720327","打开订单商品")</f>
        <v>打开订单商品</v>
      </c>
      <c r="G22" s="8" t="s">
        <v>650</v>
      </c>
      <c r="H22" s="1" t="n">
        <v>1</v>
      </c>
      <c r="I22" s="8" t="s">
        <v>651</v>
      </c>
      <c r="J22" s="8" t="n">
        <v>32</v>
      </c>
      <c r="K22" s="18" t="n">
        <v>3.42</v>
      </c>
    </row>
    <row r="23" customFormat="false" ht="80" hidden="false" customHeight="true" outlineLevel="0" collapsed="false">
      <c r="A23" s="8" t="s">
        <v>652</v>
      </c>
      <c r="B23" s="8" t="s">
        <v>653</v>
      </c>
      <c r="C23" s="8" t="s">
        <v>654</v>
      </c>
      <c r="D23" s="8" t="s">
        <v>655</v>
      </c>
      <c r="E23" s="8" t="s">
        <v>656</v>
      </c>
      <c r="F23" s="17" t="str">
        <f aca="false">HYPERLINK("https://item.taobao.com/item.htm?id=945215173380","打开订单商品")</f>
        <v>打开订单商品</v>
      </c>
      <c r="G23" s="8" t="s">
        <v>657</v>
      </c>
      <c r="H23" s="1" t="n">
        <v>1</v>
      </c>
      <c r="I23" s="8" t="s">
        <v>658</v>
      </c>
      <c r="J23" s="8" t="n">
        <v>37</v>
      </c>
      <c r="K23" s="18" t="n">
        <v>0.99</v>
      </c>
    </row>
    <row r="24" customFormat="false" ht="80" hidden="false" customHeight="true" outlineLevel="0" collapsed="false">
      <c r="A24" s="8" t="s">
        <v>659</v>
      </c>
      <c r="B24" s="8" t="s">
        <v>660</v>
      </c>
      <c r="C24" s="8" t="s">
        <v>661</v>
      </c>
      <c r="D24" s="8" t="s">
        <v>662</v>
      </c>
      <c r="E24" s="8" t="s">
        <v>663</v>
      </c>
      <c r="F24" s="17" t="str">
        <f aca="false">HYPERLINK("https://item.taobao.com/item.htm?id=625390659071","打开订单商品")</f>
        <v>打开订单商品</v>
      </c>
      <c r="G24" s="8" t="s">
        <v>664</v>
      </c>
      <c r="H24" s="1" t="n">
        <v>1</v>
      </c>
      <c r="I24" s="8" t="s">
        <v>665</v>
      </c>
      <c r="J24" s="8" t="n">
        <v>111</v>
      </c>
      <c r="K24" s="18" t="n">
        <v>1.94</v>
      </c>
    </row>
    <row r="25" customFormat="false" ht="80" hidden="false" customHeight="true" outlineLevel="0" collapsed="false">
      <c r="A25" s="8" t="s">
        <v>659</v>
      </c>
      <c r="B25" s="8" t="s">
        <v>666</v>
      </c>
      <c r="C25" s="8" t="s">
        <v>667</v>
      </c>
      <c r="D25" s="8" t="s">
        <v>668</v>
      </c>
      <c r="E25" s="8" t="s">
        <v>663</v>
      </c>
      <c r="F25" s="17" t="str">
        <f aca="false">HYPERLINK("https://item.taobao.com/item.htm?id=733598659967","打开订单商品")</f>
        <v>打开订单商品</v>
      </c>
      <c r="G25" s="8" t="s">
        <v>669</v>
      </c>
      <c r="H25" s="1" t="n">
        <v>1</v>
      </c>
      <c r="I25" s="8" t="s">
        <v>670</v>
      </c>
      <c r="J25" s="8" t="n">
        <v>112</v>
      </c>
      <c r="K25" s="18" t="n">
        <v>2.91</v>
      </c>
    </row>
    <row r="26" customFormat="false" ht="80" hidden="false" customHeight="true" outlineLevel="0" collapsed="false">
      <c r="A26" s="8" t="s">
        <v>671</v>
      </c>
      <c r="B26" s="8" t="s">
        <v>672</v>
      </c>
      <c r="C26" s="8" t="s">
        <v>673</v>
      </c>
      <c r="D26" s="8" t="s">
        <v>674</v>
      </c>
      <c r="E26" s="8" t="s">
        <v>675</v>
      </c>
      <c r="F26" s="17" t="str">
        <f aca="false">HYPERLINK("https://item.taobao.com/item.htm?id=534923831046","打开订单商品")</f>
        <v>打开订单商品</v>
      </c>
      <c r="G26" s="8" t="s">
        <v>676</v>
      </c>
      <c r="H26" s="1" t="n">
        <v>200</v>
      </c>
      <c r="I26" s="8" t="s">
        <v>677</v>
      </c>
      <c r="J26" s="8" t="n">
        <v>88</v>
      </c>
      <c r="K26" s="18" t="n">
        <v>3.03</v>
      </c>
    </row>
    <row r="27" customFormat="false" ht="80" hidden="false" customHeight="true" outlineLevel="0" collapsed="false">
      <c r="A27" s="8" t="s">
        <v>671</v>
      </c>
      <c r="B27" s="8" t="s">
        <v>678</v>
      </c>
      <c r="C27" s="8" t="s">
        <v>679</v>
      </c>
      <c r="D27" s="8" t="s">
        <v>674</v>
      </c>
      <c r="E27" s="8" t="s">
        <v>675</v>
      </c>
      <c r="F27" s="17" t="str">
        <f aca="false">HYPERLINK("https://item.taobao.com/item.htm?id=534923831046","打开订单商品")</f>
        <v>打开订单商品</v>
      </c>
      <c r="G27" s="8" t="s">
        <v>680</v>
      </c>
      <c r="H27" s="1" t="n">
        <v>200</v>
      </c>
      <c r="I27" s="8" t="s">
        <v>681</v>
      </c>
      <c r="J27" s="8" t="n">
        <v>12</v>
      </c>
      <c r="K27" s="18" t="n">
        <v>0</v>
      </c>
    </row>
    <row r="28" customFormat="false" ht="80" hidden="false" customHeight="true" outlineLevel="0" collapsed="false">
      <c r="A28" s="8" t="s">
        <v>671</v>
      </c>
      <c r="B28" s="8" t="s">
        <v>682</v>
      </c>
      <c r="C28" s="8" t="s">
        <v>683</v>
      </c>
      <c r="D28" s="8" t="s">
        <v>674</v>
      </c>
      <c r="E28" s="8" t="s">
        <v>675</v>
      </c>
      <c r="F28" s="17" t="str">
        <f aca="false">HYPERLINK("https://item.taobao.com/item.htm?id=534923831046","打开订单商品")</f>
        <v>打开订单商品</v>
      </c>
      <c r="G28" s="8" t="s">
        <v>684</v>
      </c>
      <c r="H28" s="1" t="n">
        <v>200</v>
      </c>
      <c r="I28" s="8" t="s">
        <v>677</v>
      </c>
      <c r="J28" s="8" t="n">
        <v>87</v>
      </c>
      <c r="K28" s="18" t="n">
        <v>3.31</v>
      </c>
    </row>
    <row r="29" customFormat="false" ht="80" hidden="false" customHeight="true" outlineLevel="0" collapsed="false">
      <c r="A29" s="8" t="s">
        <v>671</v>
      </c>
      <c r="B29" s="8" t="s">
        <v>685</v>
      </c>
      <c r="C29" s="8" t="s">
        <v>686</v>
      </c>
      <c r="D29" s="8" t="s">
        <v>674</v>
      </c>
      <c r="E29" s="8" t="s">
        <v>675</v>
      </c>
      <c r="F29" s="17" t="str">
        <f aca="false">HYPERLINK("https://item.taobao.com/item.htm?id=534923831046","打开订单商品")</f>
        <v>打开订单商品</v>
      </c>
      <c r="G29" s="8" t="s">
        <v>687</v>
      </c>
      <c r="H29" s="1" t="n">
        <v>200</v>
      </c>
      <c r="I29" s="8" t="s">
        <v>677</v>
      </c>
      <c r="J29" s="8" t="n">
        <v>86</v>
      </c>
      <c r="K29" s="18" t="n">
        <v>3.59</v>
      </c>
    </row>
    <row r="30" customFormat="false" ht="80" hidden="false" customHeight="true" outlineLevel="0" collapsed="false">
      <c r="A30" s="8" t="s">
        <v>671</v>
      </c>
      <c r="B30" s="8" t="s">
        <v>688</v>
      </c>
      <c r="C30" s="8" t="s">
        <v>689</v>
      </c>
      <c r="D30" s="8" t="s">
        <v>674</v>
      </c>
      <c r="E30" s="8" t="s">
        <v>675</v>
      </c>
      <c r="F30" s="17" t="str">
        <f aca="false">HYPERLINK("https://item.taobao.com/item.htm?id=534923831046","打开订单商品")</f>
        <v>打开订单商品</v>
      </c>
      <c r="G30" s="8" t="s">
        <v>690</v>
      </c>
      <c r="H30" s="1" t="n">
        <v>200</v>
      </c>
      <c r="I30" s="8" t="s">
        <v>677</v>
      </c>
      <c r="J30" s="8" t="n">
        <v>85</v>
      </c>
      <c r="K30" s="18" t="n">
        <v>3.88</v>
      </c>
    </row>
    <row r="31" customFormat="false" ht="80" hidden="false" customHeight="true" outlineLevel="0" collapsed="false">
      <c r="A31" s="8" t="s">
        <v>671</v>
      </c>
      <c r="B31" s="8" t="s">
        <v>691</v>
      </c>
      <c r="C31" s="8" t="s">
        <v>692</v>
      </c>
      <c r="D31" s="8" t="s">
        <v>674</v>
      </c>
      <c r="E31" s="8" t="s">
        <v>675</v>
      </c>
      <c r="F31" s="17" t="str">
        <f aca="false">HYPERLINK("https://item.taobao.com/item.htm?id=534923831046","打开订单商品")</f>
        <v>打开订单商品</v>
      </c>
      <c r="G31" s="8" t="s">
        <v>693</v>
      </c>
      <c r="H31" s="1" t="n">
        <v>200</v>
      </c>
      <c r="I31" s="8" t="s">
        <v>677</v>
      </c>
      <c r="J31" s="8" t="n">
        <v>89</v>
      </c>
      <c r="K31" s="18" t="n">
        <v>3.59</v>
      </c>
    </row>
    <row r="32" customFormat="false" ht="80" hidden="false" customHeight="true" outlineLevel="0" collapsed="false"/>
    <row r="33" customFormat="false" ht="80" hidden="false" customHeight="true" outlineLevel="0" collapsed="false"/>
    <row r="34" customFormat="false" ht="80" hidden="false" customHeight="true" outlineLevel="0" collapsed="false"/>
    <row r="35" customFormat="false" ht="80" hidden="false" customHeight="true" outlineLevel="0" collapsed="false"/>
    <row r="36" customFormat="false" ht="80" hidden="false" customHeight="true" outlineLevel="0" collapsed="false"/>
    <row r="37" customFormat="false" ht="80" hidden="false" customHeight="true" outlineLevel="0" collapsed="false"/>
    <row r="38" customFormat="false" ht="80" hidden="false" customHeight="true" outlineLevel="0" collapsed="false"/>
    <row r="39" customFormat="false" ht="80" hidden="false" customHeight="true" outlineLevel="0" collapsed="false"/>
    <row r="40" customFormat="false" ht="80" hidden="false" customHeight="true" outlineLevel="0" collapsed="false"/>
    <row r="41" customFormat="false" ht="80" hidden="false" customHeight="true" outlineLevel="0" collapsed="false"/>
    <row r="42" customFormat="false" ht="80" hidden="false" customHeight="true" outlineLevel="0" collapsed="false"/>
    <row r="43" customFormat="false" ht="80" hidden="false" customHeight="tru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11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2" ySplit="6" topLeftCell="C7" activePane="bottomRight" state="frozen"/>
      <selection pane="topLeft" activeCell="A1" activeCellId="0" sqref="A1"/>
      <selection pane="topRight" activeCell="C1" activeCellId="0" sqref="C1"/>
      <selection pane="bottomLeft" activeCell="A7" activeCellId="0" sqref="A7"/>
      <selection pane="bottomRight" activeCell="A1" activeCellId="0" sqref="A1"/>
    </sheetView>
  </sheetViews>
  <sheetFormatPr defaultColWidth="8.6796875" defaultRowHeight="15" customHeight="false" zeroHeight="false" outlineLevelRow="0" outlineLevelCol="0"/>
  <cols>
    <col collapsed="false" customWidth="true" hidden="false" outlineLevel="0" max="1" min="1" style="0" width="12"/>
    <col collapsed="false" customWidth="true" hidden="false" outlineLevel="0" max="3" min="2" style="0" width="18"/>
    <col collapsed="false" customWidth="true" hidden="false" outlineLevel="0" max="4" min="4" style="0" width="31"/>
    <col collapsed="false" customWidth="true" hidden="false" outlineLevel="0" max="5" min="5" style="0" width="72"/>
    <col collapsed="false" customWidth="true" hidden="false" outlineLevel="0" max="6" min="6" style="0" width="58"/>
    <col collapsed="false" customWidth="true" hidden="false" outlineLevel="0" max="7" min="7" style="0" width="18"/>
    <col collapsed="false" customWidth="true" hidden="false" outlineLevel="0" max="8" min="8" style="0" width="23"/>
    <col collapsed="false" customWidth="true" hidden="false" outlineLevel="0" max="9" min="9" style="0" width="21"/>
    <col collapsed="false" customWidth="true" hidden="false" outlineLevel="0" max="10" min="10" style="0" width="62"/>
  </cols>
  <sheetData>
    <row r="1" customFormat="false" ht="24" hidden="false" customHeight="true" outlineLevel="0" collapsed="false">
      <c r="A1" s="1"/>
      <c r="B1" s="1"/>
      <c r="C1" s="1"/>
      <c r="D1" s="1"/>
      <c r="E1" s="1"/>
      <c r="F1" s="1"/>
      <c r="G1" s="1"/>
      <c r="H1" s="1"/>
      <c r="I1" s="1"/>
      <c r="J1" s="1"/>
    </row>
    <row r="2" customFormat="false" ht="30" hidden="false" customHeight="true" outlineLevel="0" collapsed="false">
      <c r="A2" s="2" t="s">
        <v>694</v>
      </c>
      <c r="B2" s="3"/>
      <c r="C2" s="3"/>
      <c r="D2" s="3"/>
      <c r="E2" s="3"/>
      <c r="F2" s="3"/>
      <c r="G2" s="3"/>
      <c r="H2" s="3"/>
      <c r="I2" s="3"/>
      <c r="J2" s="3"/>
    </row>
    <row r="3" customFormat="false" ht="24" hidden="false" customHeight="true" outlineLevel="0" collapsed="false">
      <c r="A3" s="4" t="s">
        <v>695</v>
      </c>
      <c r="B3" s="1"/>
      <c r="C3" s="1"/>
      <c r="D3" s="1"/>
      <c r="E3" s="1"/>
      <c r="F3" s="1"/>
      <c r="G3" s="1"/>
      <c r="H3" s="1"/>
      <c r="I3" s="1"/>
      <c r="J3" s="1"/>
    </row>
    <row r="4" customFormat="false" ht="24" hidden="false" customHeight="true" outlineLevel="0" collapsed="false">
      <c r="A4" s="1" t="s">
        <v>696</v>
      </c>
      <c r="B4" s="1"/>
      <c r="C4" s="1"/>
      <c r="D4" s="1"/>
      <c r="E4" s="1"/>
      <c r="F4" s="1"/>
      <c r="G4" s="1"/>
      <c r="H4" s="1"/>
      <c r="I4" s="1"/>
      <c r="J4" s="1"/>
    </row>
    <row r="5" customFormat="false" ht="24" hidden="false" customHeight="true" outlineLevel="0" collapsed="false">
      <c r="A5" s="1" t="s">
        <v>697</v>
      </c>
      <c r="B5" s="1"/>
      <c r="C5" s="1"/>
      <c r="D5" s="1"/>
      <c r="E5" s="1"/>
      <c r="F5" s="1"/>
      <c r="G5" s="1"/>
      <c r="H5" s="1"/>
      <c r="I5" s="1"/>
      <c r="J5" s="1"/>
    </row>
    <row r="6" customFormat="false" ht="34" hidden="false" customHeight="true" outlineLevel="0" collapsed="false">
      <c r="A6" s="12" t="s">
        <v>555</v>
      </c>
      <c r="B6" s="6" t="s">
        <v>698</v>
      </c>
      <c r="C6" s="6" t="s">
        <v>699</v>
      </c>
      <c r="D6" s="6" t="s">
        <v>700</v>
      </c>
      <c r="E6" s="6" t="s">
        <v>701</v>
      </c>
      <c r="F6" s="6" t="s">
        <v>702</v>
      </c>
      <c r="G6" s="6" t="s">
        <v>703</v>
      </c>
      <c r="H6" s="6" t="s">
        <v>704</v>
      </c>
      <c r="I6" s="6" t="s">
        <v>552</v>
      </c>
      <c r="J6" s="7" t="s">
        <v>705</v>
      </c>
    </row>
    <row r="7" customFormat="false" ht="64" hidden="false" customHeight="true" outlineLevel="0" collapsed="false">
      <c r="A7" s="1" t="n">
        <v>4</v>
      </c>
      <c r="B7" s="19" t="n">
        <v>46306</v>
      </c>
      <c r="C7" s="8" t="s">
        <v>706</v>
      </c>
      <c r="D7" s="8" t="s">
        <v>264</v>
      </c>
      <c r="E7" s="8" t="s">
        <v>707</v>
      </c>
      <c r="F7" s="8" t="s">
        <v>262</v>
      </c>
      <c r="G7" s="9" t="n">
        <v>2</v>
      </c>
      <c r="H7" s="20" t="n">
        <v>5.75</v>
      </c>
      <c r="I7" s="10" t="str">
        <f aca="false">HYPERLINK("https://item.taobao.com/item.htm?id=640391703111","打开商品")</f>
        <v>打开商品</v>
      </c>
      <c r="J7" s="8" t="s">
        <v>708</v>
      </c>
    </row>
    <row r="8" customFormat="false" ht="64" hidden="false" customHeight="true" outlineLevel="0" collapsed="false">
      <c r="A8" s="1" t="n">
        <v>6</v>
      </c>
      <c r="B8" s="19" t="n">
        <v>46305</v>
      </c>
      <c r="C8" s="8" t="s">
        <v>706</v>
      </c>
      <c r="D8" s="8" t="s">
        <v>632</v>
      </c>
      <c r="E8" s="8" t="s">
        <v>709</v>
      </c>
      <c r="F8" s="8" t="s">
        <v>633</v>
      </c>
      <c r="G8" s="9" t="n">
        <v>30</v>
      </c>
      <c r="H8" s="20" t="n">
        <v>0.9</v>
      </c>
      <c r="I8" s="10" t="str">
        <f aca="false">HYPERLINK("https://item.taobao.com/item.htm?id=825340808235","打开商品")</f>
        <v>打开商品</v>
      </c>
      <c r="J8" s="8" t="s">
        <v>710</v>
      </c>
    </row>
    <row r="9" customFormat="false" ht="64" hidden="false" customHeight="true" outlineLevel="0" collapsed="false">
      <c r="A9" s="1" t="n">
        <v>23</v>
      </c>
      <c r="B9" s="19" t="n">
        <v>46293</v>
      </c>
      <c r="C9" s="8" t="s">
        <v>711</v>
      </c>
      <c r="D9" s="8" t="s">
        <v>239</v>
      </c>
      <c r="E9" s="8" t="s">
        <v>712</v>
      </c>
      <c r="F9" s="8" t="s">
        <v>713</v>
      </c>
      <c r="G9" s="9" t="n">
        <v>1</v>
      </c>
      <c r="H9" s="20" t="n">
        <v>9.1</v>
      </c>
      <c r="I9" s="10" t="str">
        <f aca="false">HYPERLINK("https://item.taobao.com/item.htm?id=606745016341","打开商品")</f>
        <v>打开商品</v>
      </c>
      <c r="J9" s="8" t="s">
        <v>708</v>
      </c>
    </row>
    <row r="10" customFormat="false" ht="64" hidden="false" customHeight="true" outlineLevel="0" collapsed="false">
      <c r="A10" s="1" t="n">
        <v>24</v>
      </c>
      <c r="B10" s="19" t="n">
        <v>46293</v>
      </c>
      <c r="C10" s="8" t="s">
        <v>711</v>
      </c>
      <c r="D10" s="8" t="s">
        <v>714</v>
      </c>
      <c r="E10" s="8" t="s">
        <v>715</v>
      </c>
      <c r="F10" s="8" t="s">
        <v>716</v>
      </c>
      <c r="G10" s="9" t="n">
        <v>1</v>
      </c>
      <c r="H10" s="20" t="n">
        <v>14.16</v>
      </c>
      <c r="I10" s="10" t="str">
        <f aca="false">HYPERLINK("https://item.taobao.com/item.htm?id=1049340097483","打开商品")</f>
        <v>打开商品</v>
      </c>
      <c r="J10" s="8" t="s">
        <v>717</v>
      </c>
    </row>
    <row r="11" customFormat="false" ht="64" hidden="false" customHeight="true" outlineLevel="0" collapsed="false">
      <c r="A11" s="1" t="n">
        <v>35</v>
      </c>
      <c r="B11" s="19" t="n">
        <v>46290</v>
      </c>
      <c r="C11" s="8" t="s">
        <v>711</v>
      </c>
      <c r="D11" s="8" t="s">
        <v>718</v>
      </c>
      <c r="E11" s="8" t="s">
        <v>719</v>
      </c>
      <c r="F11" s="8" t="s">
        <v>720</v>
      </c>
      <c r="G11" s="9" t="n">
        <v>1</v>
      </c>
      <c r="H11" s="20" t="n">
        <v>13.8</v>
      </c>
      <c r="I11" s="10" t="str">
        <f aca="false">HYPERLINK("https://item.taobao.com/item.htm?id=626569273184","打开商品")</f>
        <v>打开商品</v>
      </c>
      <c r="J11" s="8" t="s">
        <v>721</v>
      </c>
    </row>
    <row r="12" customFormat="false" ht="64" hidden="false" customHeight="true" outlineLevel="0" collapsed="false">
      <c r="A12" s="1" t="n">
        <v>36</v>
      </c>
      <c r="B12" s="19" t="n">
        <v>46290</v>
      </c>
      <c r="C12" s="8" t="s">
        <v>711</v>
      </c>
      <c r="D12" s="8" t="s">
        <v>632</v>
      </c>
      <c r="E12" s="8" t="s">
        <v>722</v>
      </c>
      <c r="F12" s="8" t="s">
        <v>637</v>
      </c>
      <c r="G12" s="9" t="n">
        <v>30</v>
      </c>
      <c r="H12" s="20" t="n">
        <v>0.9</v>
      </c>
      <c r="I12" s="10" t="str">
        <f aca="false">HYPERLINK("https://item.taobao.com/item.htm?id=825340808235","打开商品")</f>
        <v>打开商品</v>
      </c>
      <c r="J12" s="8" t="s">
        <v>710</v>
      </c>
    </row>
    <row r="13" customFormat="false" ht="64" hidden="false" customHeight="true" outlineLevel="0" collapsed="false">
      <c r="A13" s="1" t="n">
        <v>43</v>
      </c>
      <c r="B13" s="19" t="n">
        <v>46282</v>
      </c>
      <c r="C13" s="8" t="s">
        <v>711</v>
      </c>
      <c r="D13" s="8" t="s">
        <v>723</v>
      </c>
      <c r="E13" s="8" t="s">
        <v>724</v>
      </c>
      <c r="F13" s="8" t="s">
        <v>725</v>
      </c>
      <c r="G13" s="9" t="n">
        <v>1</v>
      </c>
      <c r="H13" s="20" t="n">
        <v>268</v>
      </c>
      <c r="I13" s="10" t="str">
        <f aca="false">HYPERLINK("https://item.taobao.com/item.htm?id=566089419587","打开商品")</f>
        <v>打开商品</v>
      </c>
      <c r="J13" s="8" t="s">
        <v>726</v>
      </c>
    </row>
    <row r="14" customFormat="false" ht="64" hidden="false" customHeight="true" outlineLevel="0" collapsed="false">
      <c r="A14" s="1" t="n">
        <v>50</v>
      </c>
      <c r="B14" s="19" t="n">
        <v>46282</v>
      </c>
      <c r="C14" s="8" t="s">
        <v>711</v>
      </c>
      <c r="D14" s="8" t="s">
        <v>27</v>
      </c>
      <c r="E14" s="8" t="s">
        <v>727</v>
      </c>
      <c r="F14" s="8" t="s">
        <v>33</v>
      </c>
      <c r="G14" s="9" t="n">
        <v>50</v>
      </c>
      <c r="H14" s="20" t="n">
        <v>0.06</v>
      </c>
      <c r="I14" s="10" t="str">
        <f aca="false">HYPERLINK("https://item.taobao.com/item.htm?id=630712731066","打开商品")</f>
        <v>打开商品</v>
      </c>
      <c r="J14" s="8" t="s">
        <v>30</v>
      </c>
    </row>
    <row r="15" customFormat="false" ht="64" hidden="false" customHeight="true" outlineLevel="0" collapsed="false">
      <c r="A15" s="1" t="n">
        <v>52</v>
      </c>
      <c r="B15" s="19" t="n">
        <v>46282</v>
      </c>
      <c r="C15" s="8" t="s">
        <v>711</v>
      </c>
      <c r="D15" s="8" t="s">
        <v>141</v>
      </c>
      <c r="E15" s="8" t="s">
        <v>728</v>
      </c>
      <c r="F15" s="8" t="s">
        <v>729</v>
      </c>
      <c r="G15" s="9" t="n">
        <v>1</v>
      </c>
      <c r="H15" s="20" t="n">
        <v>1.46</v>
      </c>
      <c r="I15" s="10" t="str">
        <f aca="false">HYPERLINK("https://item.taobao.com/item.htm?id=947267344247","打开商品")</f>
        <v>打开商品</v>
      </c>
      <c r="J15" s="8" t="s">
        <v>730</v>
      </c>
    </row>
    <row r="16" customFormat="false" ht="64" hidden="false" customHeight="true" outlineLevel="0" collapsed="false">
      <c r="A16" s="1" t="n">
        <v>53</v>
      </c>
      <c r="B16" s="19" t="n">
        <v>46282</v>
      </c>
      <c r="C16" s="8" t="s">
        <v>711</v>
      </c>
      <c r="D16" s="8" t="s">
        <v>141</v>
      </c>
      <c r="E16" s="8" t="s">
        <v>728</v>
      </c>
      <c r="F16" s="8" t="s">
        <v>142</v>
      </c>
      <c r="G16" s="9" t="n">
        <v>1</v>
      </c>
      <c r="H16" s="20" t="n">
        <v>1.42</v>
      </c>
      <c r="I16" s="10" t="str">
        <f aca="false">HYPERLINK("https://item.taobao.com/item.htm?id=947267344247","打开商品")</f>
        <v>打开商品</v>
      </c>
      <c r="J16" s="8" t="s">
        <v>708</v>
      </c>
    </row>
    <row r="17" customFormat="false" ht="64" hidden="false" customHeight="true" outlineLevel="0" collapsed="false">
      <c r="A17" s="1" t="n">
        <v>56</v>
      </c>
      <c r="B17" s="19" t="n">
        <v>46282</v>
      </c>
      <c r="C17" s="8" t="s">
        <v>711</v>
      </c>
      <c r="D17" s="8" t="s">
        <v>141</v>
      </c>
      <c r="E17" s="8" t="s">
        <v>728</v>
      </c>
      <c r="F17" s="8" t="s">
        <v>245</v>
      </c>
      <c r="G17" s="9" t="n">
        <v>1</v>
      </c>
      <c r="H17" s="20" t="n">
        <v>1.46</v>
      </c>
      <c r="I17" s="10" t="str">
        <f aca="false">HYPERLINK("https://item.taobao.com/item.htm?id=947267344247","打开商品")</f>
        <v>打开商品</v>
      </c>
      <c r="J17" s="8" t="s">
        <v>242</v>
      </c>
    </row>
    <row r="18" customFormat="false" ht="64" hidden="false" customHeight="true" outlineLevel="0" collapsed="false">
      <c r="A18" s="1" t="n">
        <v>76</v>
      </c>
      <c r="B18" s="19" t="n">
        <v>46279</v>
      </c>
      <c r="C18" s="8" t="s">
        <v>711</v>
      </c>
      <c r="D18" s="8" t="s">
        <v>714</v>
      </c>
      <c r="E18" s="8" t="s">
        <v>731</v>
      </c>
      <c r="F18" s="8" t="s">
        <v>732</v>
      </c>
      <c r="G18" s="9" t="n">
        <v>1</v>
      </c>
      <c r="H18" s="20" t="n">
        <v>3.91</v>
      </c>
      <c r="I18" s="10" t="str">
        <f aca="false">HYPERLINK("https://item.taobao.com/item.htm?id=972313702890","打开商品")</f>
        <v>打开商品</v>
      </c>
      <c r="J18" s="8" t="s">
        <v>733</v>
      </c>
    </row>
    <row r="19" customFormat="false" ht="64" hidden="false" customHeight="true" outlineLevel="0" collapsed="false">
      <c r="A19" s="1" t="n">
        <v>77</v>
      </c>
      <c r="B19" s="19" t="n">
        <v>46279</v>
      </c>
      <c r="C19" s="8" t="s">
        <v>711</v>
      </c>
      <c r="D19" s="8" t="s">
        <v>103</v>
      </c>
      <c r="E19" s="8" t="s">
        <v>734</v>
      </c>
      <c r="F19" s="8" t="s">
        <v>588</v>
      </c>
      <c r="G19" s="9" t="n">
        <v>1</v>
      </c>
      <c r="H19" s="20" t="n">
        <v>4.56</v>
      </c>
      <c r="I19" s="10" t="str">
        <f aca="false">HYPERLINK("https://item.taobao.com/item.htm?id=895049863252","打开商品")</f>
        <v>打开商品</v>
      </c>
      <c r="J19" s="8" t="s">
        <v>585</v>
      </c>
    </row>
    <row r="20" customFormat="false" ht="64" hidden="false" customHeight="true" outlineLevel="0" collapsed="false">
      <c r="A20" s="1" t="n">
        <v>78</v>
      </c>
      <c r="B20" s="19" t="n">
        <v>46279</v>
      </c>
      <c r="C20" s="8" t="s">
        <v>711</v>
      </c>
      <c r="D20" s="8" t="s">
        <v>27</v>
      </c>
      <c r="E20" s="8" t="s">
        <v>727</v>
      </c>
      <c r="F20" s="8" t="s">
        <v>28</v>
      </c>
      <c r="G20" s="9" t="n">
        <v>100</v>
      </c>
      <c r="H20" s="20" t="n">
        <v>0.03</v>
      </c>
      <c r="I20" s="10" t="str">
        <f aca="false">HYPERLINK("https://item.taobao.com/item.htm?id=630712731066","打开商品")</f>
        <v>打开商品</v>
      </c>
      <c r="J20" s="8" t="s">
        <v>735</v>
      </c>
    </row>
    <row r="21" customFormat="false" ht="64" hidden="false" customHeight="true" outlineLevel="0" collapsed="false">
      <c r="A21" s="1" t="n">
        <v>79</v>
      </c>
      <c r="B21" s="19" t="n">
        <v>46279</v>
      </c>
      <c r="C21" s="8" t="s">
        <v>711</v>
      </c>
      <c r="D21" s="8" t="s">
        <v>27</v>
      </c>
      <c r="E21" s="8" t="s">
        <v>736</v>
      </c>
      <c r="F21" s="8" t="s">
        <v>43</v>
      </c>
      <c r="G21" s="9" t="n">
        <v>1</v>
      </c>
      <c r="H21" s="20" t="n">
        <v>1.98</v>
      </c>
      <c r="I21" s="10" t="str">
        <f aca="false">HYPERLINK("https://item.taobao.com/item.htm?id=731471380840","打开商品")</f>
        <v>打开商品</v>
      </c>
      <c r="J21" s="8" t="s">
        <v>737</v>
      </c>
    </row>
    <row r="22" customFormat="false" ht="64" hidden="false" customHeight="true" outlineLevel="0" collapsed="false">
      <c r="A22" s="1" t="n">
        <v>80</v>
      </c>
      <c r="B22" s="19" t="n">
        <v>46279</v>
      </c>
      <c r="C22" s="8" t="s">
        <v>711</v>
      </c>
      <c r="D22" s="8" t="s">
        <v>141</v>
      </c>
      <c r="E22" s="8" t="s">
        <v>728</v>
      </c>
      <c r="F22" s="8" t="s">
        <v>142</v>
      </c>
      <c r="G22" s="9" t="n">
        <v>1</v>
      </c>
      <c r="H22" s="20" t="n">
        <v>1.42</v>
      </c>
      <c r="I22" s="10" t="str">
        <f aca="false">HYPERLINK("https://item.taobao.com/item.htm?id=947267344247","打开商品")</f>
        <v>打开商品</v>
      </c>
      <c r="J22" s="8" t="s">
        <v>137</v>
      </c>
    </row>
    <row r="23" customFormat="false" ht="64" hidden="false" customHeight="true" outlineLevel="0" collapsed="false">
      <c r="A23" s="1" t="n">
        <v>81</v>
      </c>
      <c r="B23" s="19" t="n">
        <v>46279</v>
      </c>
      <c r="C23" s="8" t="s">
        <v>711</v>
      </c>
      <c r="D23" s="8" t="s">
        <v>91</v>
      </c>
      <c r="E23" s="8" t="s">
        <v>738</v>
      </c>
      <c r="F23" s="8" t="s">
        <v>577</v>
      </c>
      <c r="G23" s="9" t="n">
        <v>1</v>
      </c>
      <c r="H23" s="20" t="n">
        <v>2.8</v>
      </c>
      <c r="I23" s="10" t="str">
        <f aca="false">HYPERLINK("https://item.taobao.com/item.htm?id=832569969546","打开商品")</f>
        <v>打开商品</v>
      </c>
      <c r="J23" s="8" t="s">
        <v>574</v>
      </c>
    </row>
    <row r="24" customFormat="false" ht="64" hidden="false" customHeight="true" outlineLevel="0" collapsed="false">
      <c r="A24" s="1" t="n">
        <v>82</v>
      </c>
      <c r="B24" s="19" t="n">
        <v>46279</v>
      </c>
      <c r="C24" s="8" t="s">
        <v>711</v>
      </c>
      <c r="D24" s="8" t="s">
        <v>91</v>
      </c>
      <c r="E24" s="8" t="s">
        <v>738</v>
      </c>
      <c r="F24" s="8" t="s">
        <v>572</v>
      </c>
      <c r="G24" s="9" t="n">
        <v>1</v>
      </c>
      <c r="H24" s="20" t="n">
        <v>2.2</v>
      </c>
      <c r="I24" s="10" t="str">
        <f aca="false">HYPERLINK("https://item.taobao.com/item.htm?id=832569969546","打开商品")</f>
        <v>打开商品</v>
      </c>
      <c r="J24" s="8" t="s">
        <v>569</v>
      </c>
    </row>
    <row r="25" customFormat="false" ht="64" hidden="false" customHeight="true" outlineLevel="0" collapsed="false">
      <c r="A25" s="1" t="n">
        <v>83</v>
      </c>
      <c r="B25" s="19" t="n">
        <v>46279</v>
      </c>
      <c r="C25" s="8" t="s">
        <v>711</v>
      </c>
      <c r="D25" s="8" t="s">
        <v>91</v>
      </c>
      <c r="E25" s="8" t="s">
        <v>738</v>
      </c>
      <c r="F25" s="8" t="s">
        <v>582</v>
      </c>
      <c r="G25" s="9" t="n">
        <v>1</v>
      </c>
      <c r="H25" s="20" t="n">
        <v>3.5</v>
      </c>
      <c r="I25" s="10" t="str">
        <f aca="false">HYPERLINK("https://item.taobao.com/item.htm?id=832569969546","打开商品")</f>
        <v>打开商品</v>
      </c>
      <c r="J25" s="8" t="s">
        <v>579</v>
      </c>
    </row>
    <row r="26" customFormat="false" ht="64" hidden="false" customHeight="true" outlineLevel="0" collapsed="false">
      <c r="A26" s="1" t="n">
        <v>91</v>
      </c>
      <c r="B26" s="19" t="n">
        <v>46276</v>
      </c>
      <c r="C26" s="8" t="s">
        <v>711</v>
      </c>
      <c r="D26" s="8" t="s">
        <v>264</v>
      </c>
      <c r="E26" s="8" t="s">
        <v>707</v>
      </c>
      <c r="F26" s="8" t="s">
        <v>262</v>
      </c>
      <c r="G26" s="9" t="n">
        <v>2</v>
      </c>
      <c r="H26" s="20" t="n">
        <v>5.75</v>
      </c>
      <c r="I26" s="10" t="str">
        <f aca="false">HYPERLINK("https://item.taobao.com/item.htm?id=640391703111","打开商品")</f>
        <v>打开商品</v>
      </c>
      <c r="J26" s="8" t="s">
        <v>262</v>
      </c>
    </row>
    <row r="27" customFormat="false" ht="64" hidden="false" customHeight="true" outlineLevel="0" collapsed="false">
      <c r="A27" s="1" t="n">
        <v>92</v>
      </c>
      <c r="B27" s="19" t="n">
        <v>46276</v>
      </c>
      <c r="C27" s="8" t="s">
        <v>711</v>
      </c>
      <c r="D27" s="8" t="s">
        <v>599</v>
      </c>
      <c r="E27" s="8" t="s">
        <v>739</v>
      </c>
      <c r="F27" s="8" t="s">
        <v>600</v>
      </c>
      <c r="G27" s="9" t="n">
        <v>1</v>
      </c>
      <c r="H27" s="20" t="n">
        <v>49.5</v>
      </c>
      <c r="I27" s="10" t="str">
        <f aca="false">HYPERLINK("https://item.taobao.com/item.htm?id=737603917521","打开商品")</f>
        <v>打开商品</v>
      </c>
      <c r="J27" s="8" t="s">
        <v>596</v>
      </c>
    </row>
    <row r="28" customFormat="false" ht="64" hidden="false" customHeight="true" outlineLevel="0" collapsed="false">
      <c r="A28" s="1" t="n">
        <v>93</v>
      </c>
      <c r="B28" s="19" t="n">
        <v>46276</v>
      </c>
      <c r="C28" s="8" t="s">
        <v>711</v>
      </c>
      <c r="D28" s="8" t="s">
        <v>133</v>
      </c>
      <c r="E28" s="8" t="s">
        <v>740</v>
      </c>
      <c r="F28" s="8" t="s">
        <v>134</v>
      </c>
      <c r="G28" s="9" t="n">
        <v>1</v>
      </c>
      <c r="H28" s="20" t="n">
        <v>3</v>
      </c>
      <c r="I28" s="10" t="str">
        <f aca="false">HYPERLINK("https://item.taobao.com/item.htm?id=909264246006","打开商品")</f>
        <v>打开商品</v>
      </c>
      <c r="J28" s="8" t="s">
        <v>130</v>
      </c>
    </row>
    <row r="29" customFormat="false" ht="64" hidden="false" customHeight="true" outlineLevel="0" collapsed="false">
      <c r="A29" s="1" t="n">
        <v>94</v>
      </c>
      <c r="B29" s="19" t="n">
        <v>46276</v>
      </c>
      <c r="C29" s="8" t="s">
        <v>711</v>
      </c>
      <c r="D29" s="8" t="s">
        <v>66</v>
      </c>
      <c r="E29" s="8" t="s">
        <v>741</v>
      </c>
      <c r="F29" s="8" t="s">
        <v>67</v>
      </c>
      <c r="G29" s="9" t="n">
        <v>1</v>
      </c>
      <c r="H29" s="20" t="n">
        <v>4.5</v>
      </c>
      <c r="I29" s="10" t="str">
        <f aca="false">HYPERLINK("https://item.taobao.com/item.htm?id=793455311175","打开商品")</f>
        <v>打开商品</v>
      </c>
      <c r="J29" s="8" t="s">
        <v>63</v>
      </c>
    </row>
    <row r="30" customFormat="false" ht="64" hidden="false" customHeight="true" outlineLevel="0" collapsed="false">
      <c r="A30" s="1" t="n">
        <v>95</v>
      </c>
      <c r="B30" s="19" t="n">
        <v>46276</v>
      </c>
      <c r="C30" s="8" t="s">
        <v>711</v>
      </c>
      <c r="D30" s="8" t="s">
        <v>164</v>
      </c>
      <c r="E30" s="8" t="s">
        <v>742</v>
      </c>
      <c r="F30" s="8" t="s">
        <v>165</v>
      </c>
      <c r="G30" s="9" t="n">
        <v>10</v>
      </c>
      <c r="H30" s="20" t="n">
        <v>0.7</v>
      </c>
      <c r="I30" s="10" t="str">
        <f aca="false">HYPERLINK("https://item.taobao.com/item.htm?id=582129955778","打开商品")</f>
        <v>打开商品</v>
      </c>
      <c r="J30" s="8" t="s">
        <v>743</v>
      </c>
    </row>
    <row r="31" customFormat="false" ht="64" hidden="false" customHeight="true" outlineLevel="0" collapsed="false">
      <c r="A31" s="1" t="n">
        <v>96</v>
      </c>
      <c r="B31" s="19" t="n">
        <v>46276</v>
      </c>
      <c r="C31" s="8" t="s">
        <v>711</v>
      </c>
      <c r="D31" s="8" t="s">
        <v>53</v>
      </c>
      <c r="E31" s="8" t="s">
        <v>744</v>
      </c>
      <c r="F31" s="8" t="s">
        <v>54</v>
      </c>
      <c r="G31" s="9" t="n">
        <v>1</v>
      </c>
      <c r="H31" s="20" t="n">
        <v>3.5</v>
      </c>
      <c r="I31" s="10" t="str">
        <f aca="false">HYPERLINK("https://item.taobao.com/item.htm?id=993202872551","打开商品")</f>
        <v>打开商品</v>
      </c>
      <c r="J31" s="8" t="s">
        <v>50</v>
      </c>
    </row>
    <row r="32" customFormat="false" ht="64" hidden="false" customHeight="true" outlineLevel="0" collapsed="false">
      <c r="A32" s="1" t="n">
        <v>100</v>
      </c>
      <c r="B32" s="19" t="n">
        <v>46275</v>
      </c>
      <c r="C32" s="8" t="s">
        <v>711</v>
      </c>
      <c r="D32" s="8" t="s">
        <v>606</v>
      </c>
      <c r="E32" s="8" t="s">
        <v>745</v>
      </c>
      <c r="F32" s="8" t="s">
        <v>607</v>
      </c>
      <c r="G32" s="9" t="n">
        <v>1</v>
      </c>
      <c r="H32" s="20" t="n">
        <v>309</v>
      </c>
      <c r="I32" s="10" t="str">
        <f aca="false">HYPERLINK("https://item.taobao.com/item.htm?id=763812025816","打开商品")</f>
        <v>打开商品</v>
      </c>
      <c r="J32" s="8" t="s">
        <v>603</v>
      </c>
    </row>
    <row r="33" customFormat="false" ht="64" hidden="false" customHeight="true" outlineLevel="0" collapsed="false">
      <c r="A33" s="1" t="n">
        <v>103</v>
      </c>
      <c r="B33" s="19" t="n">
        <v>46274</v>
      </c>
      <c r="C33" s="8" t="s">
        <v>711</v>
      </c>
      <c r="D33" s="8" t="s">
        <v>228</v>
      </c>
      <c r="E33" s="8" t="s">
        <v>746</v>
      </c>
      <c r="F33" s="8" t="s">
        <v>594</v>
      </c>
      <c r="G33" s="9" t="n">
        <v>1</v>
      </c>
      <c r="H33" s="20" t="n">
        <v>3.08</v>
      </c>
      <c r="I33" s="10" t="str">
        <f aca="false">HYPERLINK("https://item.taobao.com/item.htm?id=683920556900","打开商品")</f>
        <v>打开商品</v>
      </c>
      <c r="J33" s="8" t="s">
        <v>591</v>
      </c>
    </row>
    <row r="34" customFormat="false" ht="64" hidden="false" customHeight="true" outlineLevel="0" collapsed="false">
      <c r="A34" s="1" t="n">
        <v>105</v>
      </c>
      <c r="B34" s="19" t="n">
        <v>46274</v>
      </c>
      <c r="C34" s="8" t="s">
        <v>711</v>
      </c>
      <c r="D34" s="8" t="s">
        <v>747</v>
      </c>
      <c r="E34" s="8" t="s">
        <v>748</v>
      </c>
      <c r="F34" s="8" t="s">
        <v>749</v>
      </c>
      <c r="G34" s="9" t="n">
        <v>1</v>
      </c>
      <c r="H34" s="20" t="n">
        <v>1.98</v>
      </c>
      <c r="I34" s="10" t="str">
        <f aca="false">HYPERLINK("https://item.taobao.com/item.htm?id=979077591318","打开商品")</f>
        <v>打开商品</v>
      </c>
      <c r="J34" s="8" t="s">
        <v>750</v>
      </c>
    </row>
    <row r="35" customFormat="false" ht="64" hidden="false" customHeight="true" outlineLevel="0" collapsed="false">
      <c r="A35" s="1" t="n">
        <v>106</v>
      </c>
      <c r="B35" s="19" t="n">
        <v>46274</v>
      </c>
      <c r="C35" s="8" t="s">
        <v>711</v>
      </c>
      <c r="D35" s="8" t="s">
        <v>751</v>
      </c>
      <c r="E35" s="8" t="s">
        <v>752</v>
      </c>
      <c r="F35" s="8" t="s">
        <v>753</v>
      </c>
      <c r="G35" s="9" t="n">
        <v>1</v>
      </c>
      <c r="H35" s="20" t="n">
        <v>20.99</v>
      </c>
      <c r="I35" s="10" t="str">
        <f aca="false">HYPERLINK("https://item.taobao.com/item.htm?id=19606507546","打开商品")</f>
        <v>打开商品</v>
      </c>
      <c r="J35" s="8" t="s">
        <v>754</v>
      </c>
    </row>
    <row r="36" customFormat="false" ht="64" hidden="false" customHeight="true" outlineLevel="0" collapsed="false">
      <c r="A36" s="1" t="n">
        <v>107</v>
      </c>
      <c r="B36" s="19" t="n">
        <v>46274</v>
      </c>
      <c r="C36" s="8" t="s">
        <v>711</v>
      </c>
      <c r="D36" s="8" t="s">
        <v>755</v>
      </c>
      <c r="E36" s="8" t="s">
        <v>756</v>
      </c>
      <c r="F36" s="8" t="s">
        <v>757</v>
      </c>
      <c r="G36" s="9" t="n">
        <v>1</v>
      </c>
      <c r="H36" s="20" t="n">
        <v>8.6</v>
      </c>
      <c r="I36" s="10" t="str">
        <f aca="false">HYPERLINK("https://item.taobao.com/item.htm?id=851008959999","打开商品")</f>
        <v>打开商品</v>
      </c>
      <c r="J36" s="8" t="s">
        <v>758</v>
      </c>
    </row>
    <row r="37" customFormat="false" ht="64" hidden="false" customHeight="true" outlineLevel="0" collapsed="false">
      <c r="A37" s="1" t="n">
        <v>117</v>
      </c>
      <c r="B37" s="19" t="n">
        <v>46272</v>
      </c>
      <c r="C37" s="8" t="s">
        <v>711</v>
      </c>
      <c r="D37" s="8" t="s">
        <v>91</v>
      </c>
      <c r="E37" s="8" t="s">
        <v>738</v>
      </c>
      <c r="F37" s="8" t="s">
        <v>109</v>
      </c>
      <c r="G37" s="9" t="n">
        <v>1</v>
      </c>
      <c r="H37" s="20" t="n">
        <v>3</v>
      </c>
      <c r="I37" s="10" t="str">
        <f aca="false">HYPERLINK("https://item.taobao.com/item.htm?id=832569969546","打开商品")</f>
        <v>打开商品</v>
      </c>
      <c r="J37" s="8" t="s">
        <v>106</v>
      </c>
    </row>
    <row r="38" customFormat="false" ht="64" hidden="false" customHeight="true" outlineLevel="0" collapsed="false">
      <c r="A38" s="1" t="n">
        <v>118</v>
      </c>
      <c r="B38" s="19" t="n">
        <v>46272</v>
      </c>
      <c r="C38" s="8" t="s">
        <v>711</v>
      </c>
      <c r="D38" s="8" t="s">
        <v>91</v>
      </c>
      <c r="E38" s="8" t="s">
        <v>738</v>
      </c>
      <c r="F38" s="8" t="s">
        <v>92</v>
      </c>
      <c r="G38" s="9" t="n">
        <v>1</v>
      </c>
      <c r="H38" s="20" t="n">
        <v>2.5</v>
      </c>
      <c r="I38" s="10" t="str">
        <f aca="false">HYPERLINK("https://item.taobao.com/item.htm?id=832569969546","打开商品")</f>
        <v>打开商品</v>
      </c>
      <c r="J38" s="8" t="s">
        <v>88</v>
      </c>
    </row>
    <row r="39" customFormat="false" ht="64" hidden="false" customHeight="true" outlineLevel="0" collapsed="false">
      <c r="A39" s="1" t="n">
        <v>119</v>
      </c>
      <c r="B39" s="19" t="n">
        <v>46272</v>
      </c>
      <c r="C39" s="8" t="s">
        <v>711</v>
      </c>
      <c r="D39" s="8" t="s">
        <v>91</v>
      </c>
      <c r="E39" s="8" t="s">
        <v>759</v>
      </c>
      <c r="F39" s="8" t="s">
        <v>181</v>
      </c>
      <c r="G39" s="9" t="n">
        <v>1</v>
      </c>
      <c r="H39" s="20" t="n">
        <v>1.8</v>
      </c>
      <c r="I39" s="10" t="str">
        <f aca="false">HYPERLINK("https://item.taobao.com/item.htm?id=762173333947","打开商品")</f>
        <v>打开商品</v>
      </c>
      <c r="J39" s="8" t="s">
        <v>178</v>
      </c>
    </row>
    <row r="40" customFormat="false" ht="64" hidden="false" customHeight="true" outlineLevel="0" collapsed="false">
      <c r="A40" s="1" t="n">
        <v>121</v>
      </c>
      <c r="B40" s="19" t="n">
        <v>46272</v>
      </c>
      <c r="C40" s="8" t="s">
        <v>711</v>
      </c>
      <c r="D40" s="8" t="s">
        <v>72</v>
      </c>
      <c r="E40" s="8" t="s">
        <v>760</v>
      </c>
      <c r="F40" s="8" t="s">
        <v>128</v>
      </c>
      <c r="G40" s="9" t="n">
        <v>1</v>
      </c>
      <c r="H40" s="20" t="n">
        <v>1.77</v>
      </c>
      <c r="I40" s="10" t="str">
        <f aca="false">HYPERLINK("https://item.taobao.com/item.htm?id=944306254140","打开商品")</f>
        <v>打开商品</v>
      </c>
      <c r="J40" s="8" t="s">
        <v>125</v>
      </c>
    </row>
    <row r="41" customFormat="false" ht="64" hidden="false" customHeight="true" outlineLevel="0" collapsed="false">
      <c r="A41" s="1" t="n">
        <v>122</v>
      </c>
      <c r="B41" s="19" t="n">
        <v>46272</v>
      </c>
      <c r="C41" s="8" t="s">
        <v>711</v>
      </c>
      <c r="D41" s="8" t="s">
        <v>72</v>
      </c>
      <c r="E41" s="8" t="s">
        <v>761</v>
      </c>
      <c r="F41" s="8" t="s">
        <v>73</v>
      </c>
      <c r="G41" s="9" t="n">
        <v>1</v>
      </c>
      <c r="H41" s="20" t="n">
        <v>1.53</v>
      </c>
      <c r="I41" s="10" t="str">
        <f aca="false">HYPERLINK("https://item.taobao.com/item.htm?id=943185002457","打开商品")</f>
        <v>打开商品</v>
      </c>
      <c r="J41" s="8" t="s">
        <v>69</v>
      </c>
    </row>
    <row r="42" customFormat="false" ht="64" hidden="false" customHeight="true" outlineLevel="0" collapsed="false">
      <c r="A42" s="1" t="n">
        <v>124</v>
      </c>
      <c r="B42" s="19" t="n">
        <v>46272</v>
      </c>
      <c r="C42" s="8" t="s">
        <v>711</v>
      </c>
      <c r="D42" s="8" t="s">
        <v>59</v>
      </c>
      <c r="E42" s="8" t="s">
        <v>762</v>
      </c>
      <c r="F42" s="8" t="s">
        <v>60</v>
      </c>
      <c r="G42" s="9" t="n">
        <v>1</v>
      </c>
      <c r="H42" s="20" t="n">
        <v>2</v>
      </c>
      <c r="I42" s="10" t="str">
        <f aca="false">HYPERLINK("https://item.taobao.com/item.htm?id=610558214623","打开商品")</f>
        <v>打开商品</v>
      </c>
      <c r="J42" s="8" t="s">
        <v>56</v>
      </c>
    </row>
    <row r="43" customFormat="false" ht="64" hidden="false" customHeight="true" outlineLevel="0" collapsed="false">
      <c r="A43" s="1" t="n">
        <v>125</v>
      </c>
      <c r="B43" s="19" t="n">
        <v>46272</v>
      </c>
      <c r="C43" s="8" t="s">
        <v>711</v>
      </c>
      <c r="D43" s="8" t="s">
        <v>79</v>
      </c>
      <c r="E43" s="8" t="s">
        <v>763</v>
      </c>
      <c r="F43" s="8" t="s">
        <v>85</v>
      </c>
      <c r="G43" s="9" t="n">
        <v>1</v>
      </c>
      <c r="H43" s="20" t="n">
        <v>4</v>
      </c>
      <c r="I43" s="10" t="str">
        <f aca="false">HYPERLINK("https://item.taobao.com/item.htm?id=931081429973","打开商品")</f>
        <v>打开商品</v>
      </c>
      <c r="J43" s="8" t="s">
        <v>82</v>
      </c>
    </row>
    <row r="44" customFormat="false" ht="64" hidden="false" customHeight="true" outlineLevel="0" collapsed="false">
      <c r="A44" s="1" t="n">
        <v>126</v>
      </c>
      <c r="B44" s="19" t="n">
        <v>46272</v>
      </c>
      <c r="C44" s="8" t="s">
        <v>711</v>
      </c>
      <c r="D44" s="8" t="s">
        <v>79</v>
      </c>
      <c r="E44" s="8" t="s">
        <v>763</v>
      </c>
      <c r="F44" s="8" t="s">
        <v>80</v>
      </c>
      <c r="G44" s="9" t="n">
        <v>1</v>
      </c>
      <c r="H44" s="20" t="n">
        <v>5.6</v>
      </c>
      <c r="I44" s="10" t="str">
        <f aca="false">HYPERLINK("https://item.taobao.com/item.htm?id=931081429973","打开商品")</f>
        <v>打开商品</v>
      </c>
      <c r="J44" s="8" t="s">
        <v>76</v>
      </c>
    </row>
    <row r="45" customFormat="false" ht="64" hidden="false" customHeight="true" outlineLevel="0" collapsed="false">
      <c r="A45" s="1" t="n">
        <v>127</v>
      </c>
      <c r="B45" s="19" t="n">
        <v>46272</v>
      </c>
      <c r="C45" s="8" t="s">
        <v>711</v>
      </c>
      <c r="D45" s="8" t="s">
        <v>115</v>
      </c>
      <c r="E45" s="8" t="s">
        <v>764</v>
      </c>
      <c r="F45" s="8" t="s">
        <v>116</v>
      </c>
      <c r="G45" s="9" t="n">
        <v>1</v>
      </c>
      <c r="H45" s="20" t="n">
        <v>2</v>
      </c>
      <c r="I45" s="10" t="str">
        <f aca="false">HYPERLINK("https://item.taobao.com/item.htm?id=598174251748","打开商品")</f>
        <v>打开商品</v>
      </c>
      <c r="J45" s="8" t="s">
        <v>112</v>
      </c>
    </row>
    <row r="46" customFormat="false" ht="64" hidden="false" customHeight="true" outlineLevel="0" collapsed="false">
      <c r="A46" s="1" t="n">
        <v>128</v>
      </c>
      <c r="B46" s="19" t="n">
        <v>46272</v>
      </c>
      <c r="C46" s="8" t="s">
        <v>711</v>
      </c>
      <c r="D46" s="8" t="s">
        <v>186</v>
      </c>
      <c r="E46" s="8" t="s">
        <v>765</v>
      </c>
      <c r="F46" s="8" t="s">
        <v>192</v>
      </c>
      <c r="G46" s="9" t="n">
        <v>1</v>
      </c>
      <c r="H46" s="20" t="n">
        <v>1.3</v>
      </c>
      <c r="I46" s="10" t="str">
        <f aca="false">HYPERLINK("https://item.taobao.com/item.htm?id=902117985110","打开商品")</f>
        <v>打开商品</v>
      </c>
      <c r="J46" s="8" t="s">
        <v>189</v>
      </c>
    </row>
    <row r="47" customFormat="false" ht="64" hidden="false" customHeight="true" outlineLevel="0" collapsed="false">
      <c r="A47" s="1" t="n">
        <v>129</v>
      </c>
      <c r="B47" s="19" t="n">
        <v>46272</v>
      </c>
      <c r="C47" s="8" t="s">
        <v>711</v>
      </c>
      <c r="D47" s="8" t="s">
        <v>186</v>
      </c>
      <c r="E47" s="8" t="s">
        <v>765</v>
      </c>
      <c r="F47" s="8" t="s">
        <v>197</v>
      </c>
      <c r="G47" s="9" t="n">
        <v>1</v>
      </c>
      <c r="H47" s="20" t="n">
        <v>1.8</v>
      </c>
      <c r="I47" s="10" t="str">
        <f aca="false">HYPERLINK("https://item.taobao.com/item.htm?id=902117985110","打开商品")</f>
        <v>打开商品</v>
      </c>
      <c r="J47" s="8" t="s">
        <v>194</v>
      </c>
    </row>
    <row r="48" customFormat="false" ht="64" hidden="false" customHeight="true" outlineLevel="0" collapsed="false">
      <c r="A48" s="1" t="n">
        <v>130</v>
      </c>
      <c r="B48" s="19" t="n">
        <v>46272</v>
      </c>
      <c r="C48" s="8" t="s">
        <v>711</v>
      </c>
      <c r="D48" s="8" t="s">
        <v>186</v>
      </c>
      <c r="E48" s="8" t="s">
        <v>765</v>
      </c>
      <c r="F48" s="8" t="s">
        <v>187</v>
      </c>
      <c r="G48" s="9" t="n">
        <v>1</v>
      </c>
      <c r="H48" s="20" t="n">
        <v>1.2</v>
      </c>
      <c r="I48" s="10" t="str">
        <f aca="false">HYPERLINK("https://item.taobao.com/item.htm?id=902117985110","打开商品")</f>
        <v>打开商品</v>
      </c>
      <c r="J48" s="8" t="s">
        <v>183</v>
      </c>
    </row>
    <row r="49" customFormat="false" ht="64" hidden="false" customHeight="true" outlineLevel="0" collapsed="false">
      <c r="A49" s="1" t="n">
        <v>131</v>
      </c>
      <c r="B49" s="19" t="n">
        <v>46272</v>
      </c>
      <c r="C49" s="8" t="s">
        <v>711</v>
      </c>
      <c r="D49" s="8" t="s">
        <v>213</v>
      </c>
      <c r="E49" s="8" t="s">
        <v>766</v>
      </c>
      <c r="F49" s="8" t="s">
        <v>214</v>
      </c>
      <c r="G49" s="9" t="n">
        <v>5</v>
      </c>
      <c r="H49" s="20" t="n">
        <v>1.45</v>
      </c>
      <c r="I49" s="10" t="str">
        <f aca="false">HYPERLINK("https://item.taobao.com/item.htm?id=944053669860","打开商品")</f>
        <v>打开商品</v>
      </c>
      <c r="J49" s="8" t="s">
        <v>210</v>
      </c>
    </row>
    <row r="50" customFormat="false" ht="64" hidden="false" customHeight="true" outlineLevel="0" collapsed="false">
      <c r="A50" s="1" t="n">
        <v>132</v>
      </c>
      <c r="B50" s="19" t="n">
        <v>46272</v>
      </c>
      <c r="C50" s="8" t="s">
        <v>711</v>
      </c>
      <c r="D50" s="8" t="s">
        <v>170</v>
      </c>
      <c r="E50" s="8" t="s">
        <v>767</v>
      </c>
      <c r="F50" s="8" t="s">
        <v>167</v>
      </c>
      <c r="G50" s="9" t="n">
        <v>5</v>
      </c>
      <c r="H50" s="20" t="n">
        <v>1.18</v>
      </c>
      <c r="I50" s="10" t="str">
        <f aca="false">HYPERLINK("https://item.taobao.com/item.htm?id=808484505787","打开商品")</f>
        <v>打开商品</v>
      </c>
      <c r="J50" s="8" t="s">
        <v>167</v>
      </c>
    </row>
    <row r="51" customFormat="false" ht="64" hidden="false" customHeight="true" outlineLevel="0" collapsed="false">
      <c r="A51" s="1" t="n">
        <v>133</v>
      </c>
      <c r="B51" s="19" t="n">
        <v>46272</v>
      </c>
      <c r="C51" s="8" t="s">
        <v>711</v>
      </c>
      <c r="D51" s="8" t="s">
        <v>768</v>
      </c>
      <c r="E51" s="8" t="s">
        <v>769</v>
      </c>
      <c r="F51" s="8" t="s">
        <v>770</v>
      </c>
      <c r="G51" s="9" t="n">
        <v>1</v>
      </c>
      <c r="H51" s="20" t="n">
        <v>3</v>
      </c>
      <c r="I51" s="10" t="str">
        <f aca="false">HYPERLINK("https://item.taobao.com/item.htm?id=857961351344","打开商品")</f>
        <v>打开商品</v>
      </c>
      <c r="J51" s="8" t="s">
        <v>708</v>
      </c>
    </row>
    <row r="52" customFormat="false" ht="64" hidden="false" customHeight="true" outlineLevel="0" collapsed="false">
      <c r="A52" s="1" t="n">
        <v>134</v>
      </c>
      <c r="B52" s="19" t="n">
        <v>46272</v>
      </c>
      <c r="C52" s="8" t="s">
        <v>711</v>
      </c>
      <c r="D52" s="8" t="s">
        <v>141</v>
      </c>
      <c r="E52" s="8" t="s">
        <v>728</v>
      </c>
      <c r="F52" s="8" t="s">
        <v>153</v>
      </c>
      <c r="G52" s="9" t="n">
        <v>1</v>
      </c>
      <c r="H52" s="20" t="n">
        <v>1.46</v>
      </c>
      <c r="I52" s="10" t="str">
        <f aca="false">HYPERLINK("https://item.taobao.com/item.htm?id=947267344247","打开商品")</f>
        <v>打开商品</v>
      </c>
      <c r="J52" s="8" t="s">
        <v>150</v>
      </c>
    </row>
    <row r="53" customFormat="false" ht="64" hidden="false" customHeight="true" outlineLevel="0" collapsed="false">
      <c r="A53" s="1" t="n">
        <v>135</v>
      </c>
      <c r="B53" s="19" t="n">
        <v>46272</v>
      </c>
      <c r="C53" s="8" t="s">
        <v>711</v>
      </c>
      <c r="D53" s="8" t="s">
        <v>141</v>
      </c>
      <c r="E53" s="8" t="s">
        <v>728</v>
      </c>
      <c r="F53" s="8" t="s">
        <v>158</v>
      </c>
      <c r="G53" s="9" t="n">
        <v>1</v>
      </c>
      <c r="H53" s="20" t="n">
        <v>1.46</v>
      </c>
      <c r="I53" s="10" t="str">
        <f aca="false">HYPERLINK("https://item.taobao.com/item.htm?id=947267344247","打开商品")</f>
        <v>打开商品</v>
      </c>
      <c r="J53" s="8" t="s">
        <v>155</v>
      </c>
    </row>
    <row r="54" customFormat="false" ht="64" hidden="false" customHeight="true" outlineLevel="0" collapsed="false">
      <c r="A54" s="1" t="n">
        <v>136</v>
      </c>
      <c r="B54" s="19" t="n">
        <v>46272</v>
      </c>
      <c r="C54" s="8" t="s">
        <v>711</v>
      </c>
      <c r="D54" s="8" t="s">
        <v>141</v>
      </c>
      <c r="E54" s="8" t="s">
        <v>728</v>
      </c>
      <c r="F54" s="8" t="s">
        <v>771</v>
      </c>
      <c r="G54" s="9" t="n">
        <v>1</v>
      </c>
      <c r="H54" s="20" t="n">
        <v>1.46</v>
      </c>
      <c r="I54" s="10" t="str">
        <f aca="false">HYPERLINK("https://item.taobao.com/item.htm?id=947267344247","打开商品")</f>
        <v>打开商品</v>
      </c>
      <c r="J54" s="8" t="s">
        <v>772</v>
      </c>
    </row>
    <row r="55" customFormat="false" ht="64" hidden="false" customHeight="true" outlineLevel="0" collapsed="false">
      <c r="A55" s="1" t="n">
        <v>137</v>
      </c>
      <c r="B55" s="19" t="n">
        <v>46272</v>
      </c>
      <c r="C55" s="8" t="s">
        <v>711</v>
      </c>
      <c r="D55" s="8" t="s">
        <v>206</v>
      </c>
      <c r="E55" s="8" t="s">
        <v>773</v>
      </c>
      <c r="F55" s="8" t="s">
        <v>207</v>
      </c>
      <c r="G55" s="9" t="n">
        <v>5</v>
      </c>
      <c r="H55" s="20" t="n">
        <v>2.46</v>
      </c>
      <c r="I55" s="10" t="str">
        <f aca="false">HYPERLINK("https://item.taobao.com/item.htm?id=1013388982214","打开商品")</f>
        <v>打开商品</v>
      </c>
      <c r="J55" s="8" t="s">
        <v>203</v>
      </c>
    </row>
    <row r="56" customFormat="false" ht="64" hidden="false" customHeight="true" outlineLevel="0" collapsed="false">
      <c r="A56" s="1" t="n">
        <v>139</v>
      </c>
      <c r="B56" s="19" t="n">
        <v>46272</v>
      </c>
      <c r="C56" s="8" t="s">
        <v>711</v>
      </c>
      <c r="D56" s="8" t="s">
        <v>103</v>
      </c>
      <c r="E56" s="8" t="s">
        <v>774</v>
      </c>
      <c r="F56" s="8" t="s">
        <v>104</v>
      </c>
      <c r="G56" s="9" t="n">
        <v>1</v>
      </c>
      <c r="H56" s="20" t="n">
        <v>2.22</v>
      </c>
      <c r="I56" s="10" t="str">
        <f aca="false">HYPERLINK("https://item.taobao.com/item.htm?id=920058690376","打开商品")</f>
        <v>打开商品</v>
      </c>
      <c r="J56" s="8" t="s">
        <v>100</v>
      </c>
    </row>
    <row r="57" customFormat="false" ht="64" hidden="false" customHeight="true" outlineLevel="0" collapsed="false">
      <c r="A57" s="1" t="n">
        <v>140</v>
      </c>
      <c r="B57" s="19" t="n">
        <v>46272</v>
      </c>
      <c r="C57" s="8" t="s">
        <v>711</v>
      </c>
      <c r="D57" s="8" t="s">
        <v>97</v>
      </c>
      <c r="E57" s="8" t="s">
        <v>775</v>
      </c>
      <c r="F57" s="8" t="s">
        <v>98</v>
      </c>
      <c r="G57" s="9" t="n">
        <v>1</v>
      </c>
      <c r="H57" s="20" t="n">
        <v>4.07</v>
      </c>
      <c r="I57" s="10" t="str">
        <f aca="false">HYPERLINK("https://item.taobao.com/item.htm?id=533725557959","打开商品")</f>
        <v>打开商品</v>
      </c>
      <c r="J57" s="8" t="s">
        <v>94</v>
      </c>
    </row>
    <row r="58" customFormat="false" ht="64" hidden="false" customHeight="true" outlineLevel="0" collapsed="false">
      <c r="A58" s="1" t="n">
        <v>141</v>
      </c>
      <c r="B58" s="19" t="n">
        <v>46272</v>
      </c>
      <c r="C58" s="8" t="s">
        <v>711</v>
      </c>
      <c r="D58" s="8" t="s">
        <v>122</v>
      </c>
      <c r="E58" s="8" t="s">
        <v>776</v>
      </c>
      <c r="F58" s="8" t="s">
        <v>123</v>
      </c>
      <c r="G58" s="9" t="n">
        <v>2</v>
      </c>
      <c r="H58" s="20" t="n">
        <v>1.98</v>
      </c>
      <c r="I58" s="10" t="str">
        <f aca="false">HYPERLINK("https://item.taobao.com/item.htm?id=996702312391","打开商品")</f>
        <v>打开商品</v>
      </c>
      <c r="J58" s="8" t="s">
        <v>119</v>
      </c>
    </row>
    <row r="59" customFormat="false" ht="64" hidden="false" customHeight="true" outlineLevel="0" collapsed="false">
      <c r="A59" s="1" t="n">
        <v>142</v>
      </c>
      <c r="B59" s="19" t="n">
        <v>46272</v>
      </c>
      <c r="C59" s="8" t="s">
        <v>711</v>
      </c>
      <c r="D59" s="8" t="s">
        <v>27</v>
      </c>
      <c r="E59" s="8" t="s">
        <v>777</v>
      </c>
      <c r="F59" s="8" t="s">
        <v>38</v>
      </c>
      <c r="G59" s="9" t="n">
        <v>1</v>
      </c>
      <c r="H59" s="20" t="n">
        <v>1.49</v>
      </c>
      <c r="I59" s="10" t="str">
        <f aca="false">HYPERLINK("https://item.taobao.com/item.htm?id=1005108810412","打开商品")</f>
        <v>打开商品</v>
      </c>
      <c r="J59" s="8" t="s">
        <v>35</v>
      </c>
    </row>
    <row r="60" customFormat="false" ht="64" hidden="false" customHeight="true" outlineLevel="0" collapsed="false">
      <c r="A60" s="1" t="n">
        <v>143</v>
      </c>
      <c r="B60" s="19" t="n">
        <v>46272</v>
      </c>
      <c r="C60" s="8" t="s">
        <v>711</v>
      </c>
      <c r="D60" s="8" t="s">
        <v>175</v>
      </c>
      <c r="E60" s="8" t="s">
        <v>778</v>
      </c>
      <c r="F60" s="8" t="s">
        <v>779</v>
      </c>
      <c r="G60" s="9" t="n">
        <v>5</v>
      </c>
      <c r="H60" s="20" t="n">
        <v>1.9</v>
      </c>
      <c r="I60" s="10" t="str">
        <f aca="false">HYPERLINK("https://item.taobao.com/item.htm?id=908248360601","打开商品")</f>
        <v>打开商品</v>
      </c>
      <c r="J60" s="8" t="s">
        <v>172</v>
      </c>
    </row>
    <row r="61" customFormat="false" ht="64" hidden="false" customHeight="true" outlineLevel="0" collapsed="false">
      <c r="A61" s="1" t="n">
        <v>144</v>
      </c>
      <c r="B61" s="19" t="n">
        <v>46272</v>
      </c>
      <c r="C61" s="8" t="s">
        <v>711</v>
      </c>
      <c r="D61" s="8" t="s">
        <v>780</v>
      </c>
      <c r="E61" s="8" t="s">
        <v>781</v>
      </c>
      <c r="F61" s="8" t="s">
        <v>779</v>
      </c>
      <c r="G61" s="9" t="n">
        <v>5</v>
      </c>
      <c r="H61" s="20" t="n">
        <v>1.98</v>
      </c>
      <c r="I61" s="10" t="str">
        <f aca="false">HYPERLINK("https://item.taobao.com/item.htm?id=708737648760","打开商品")</f>
        <v>打开商品</v>
      </c>
      <c r="J61" s="8" t="s">
        <v>708</v>
      </c>
    </row>
    <row r="62" customFormat="false" ht="64" hidden="false" customHeight="true" outlineLevel="0" collapsed="false">
      <c r="A62" s="1" t="n">
        <v>147</v>
      </c>
      <c r="B62" s="19" t="n">
        <v>46269</v>
      </c>
      <c r="C62" s="8" t="s">
        <v>711</v>
      </c>
      <c r="D62" s="8" t="s">
        <v>264</v>
      </c>
      <c r="E62" s="8" t="s">
        <v>707</v>
      </c>
      <c r="F62" s="8" t="s">
        <v>262</v>
      </c>
      <c r="G62" s="9" t="n">
        <v>1</v>
      </c>
      <c r="H62" s="20" t="n">
        <v>5.5</v>
      </c>
      <c r="I62" s="10" t="str">
        <f aca="false">HYPERLINK("https://item.taobao.com/item.htm?id=640391703111","打开商品")</f>
        <v>打开商品</v>
      </c>
      <c r="J62" s="8" t="s">
        <v>708</v>
      </c>
    </row>
    <row r="63" customFormat="false" ht="64" hidden="false" customHeight="true" outlineLevel="0" collapsed="false">
      <c r="A63" s="1" t="n">
        <v>148</v>
      </c>
      <c r="B63" s="19" t="n">
        <v>46269</v>
      </c>
      <c r="C63" s="8" t="s">
        <v>711</v>
      </c>
      <c r="D63" s="8" t="s">
        <v>264</v>
      </c>
      <c r="E63" s="8" t="s">
        <v>782</v>
      </c>
      <c r="F63" s="8" t="s">
        <v>262</v>
      </c>
      <c r="G63" s="9" t="n">
        <v>1</v>
      </c>
      <c r="H63" s="20" t="n">
        <v>5.5</v>
      </c>
      <c r="I63" s="10" t="str">
        <f aca="false">HYPERLINK("https://item.taobao.com/item.htm?id=1062189210190","打开商品")</f>
        <v>打开商品</v>
      </c>
      <c r="J63" s="8" t="s">
        <v>708</v>
      </c>
    </row>
    <row r="64" customFormat="false" ht="64" hidden="false" customHeight="true" outlineLevel="0" collapsed="false">
      <c r="A64" s="1" t="n">
        <v>149</v>
      </c>
      <c r="B64" s="19" t="n">
        <v>46269</v>
      </c>
      <c r="C64" s="8" t="s">
        <v>711</v>
      </c>
      <c r="D64" s="8" t="s">
        <v>259</v>
      </c>
      <c r="E64" s="8" t="s">
        <v>783</v>
      </c>
      <c r="F64" s="8" t="s">
        <v>262</v>
      </c>
      <c r="G64" s="9" t="n">
        <v>1</v>
      </c>
      <c r="H64" s="20" t="n">
        <v>10.65</v>
      </c>
      <c r="I64" s="10" t="str">
        <f aca="false">HYPERLINK("https://item.taobao.com/item.htm?id=1028742717053","打开商品")</f>
        <v>打开商品</v>
      </c>
      <c r="J64" s="8" t="s">
        <v>708</v>
      </c>
    </row>
    <row r="65" customFormat="false" ht="64" hidden="false" customHeight="true" outlineLevel="0" collapsed="false">
      <c r="A65" s="1" t="n">
        <v>150</v>
      </c>
      <c r="B65" s="19" t="n">
        <v>46269</v>
      </c>
      <c r="C65" s="8" t="s">
        <v>711</v>
      </c>
      <c r="D65" s="8" t="s">
        <v>259</v>
      </c>
      <c r="E65" s="8" t="s">
        <v>784</v>
      </c>
      <c r="F65" s="8" t="s">
        <v>260</v>
      </c>
      <c r="G65" s="9" t="n">
        <v>5</v>
      </c>
      <c r="H65" s="20" t="n">
        <v>4.83</v>
      </c>
      <c r="I65" s="10" t="str">
        <f aca="false">HYPERLINK("https://item.taobao.com/item.htm?id=726808419708","打开商品")</f>
        <v>打开商品</v>
      </c>
      <c r="J65" s="8" t="s">
        <v>257</v>
      </c>
    </row>
    <row r="66" customFormat="false" ht="64" hidden="false" customHeight="true" outlineLevel="0" collapsed="false">
      <c r="A66" s="1" t="n">
        <v>151</v>
      </c>
      <c r="B66" s="19" t="n">
        <v>46269</v>
      </c>
      <c r="C66" s="8" t="s">
        <v>711</v>
      </c>
      <c r="D66" s="8" t="s">
        <v>785</v>
      </c>
      <c r="E66" s="8" t="s">
        <v>786</v>
      </c>
      <c r="F66" s="8" t="s">
        <v>787</v>
      </c>
      <c r="G66" s="9" t="n">
        <v>1</v>
      </c>
      <c r="H66" s="20" t="n">
        <v>2.3</v>
      </c>
      <c r="I66" s="10" t="str">
        <f aca="false">HYPERLINK("https://item.taobao.com/item.htm?id=602152415662","打开商品")</f>
        <v>打开商品</v>
      </c>
      <c r="J66" s="8" t="s">
        <v>710</v>
      </c>
    </row>
    <row r="67" customFormat="false" ht="64" hidden="false" customHeight="true" outlineLevel="0" collapsed="false">
      <c r="A67" s="1" t="n">
        <v>152</v>
      </c>
      <c r="B67" s="19" t="n">
        <v>46269</v>
      </c>
      <c r="C67" s="8" t="s">
        <v>711</v>
      </c>
      <c r="D67" s="8" t="s">
        <v>239</v>
      </c>
      <c r="E67" s="8" t="s">
        <v>788</v>
      </c>
      <c r="F67" s="8" t="s">
        <v>240</v>
      </c>
      <c r="G67" s="9" t="n">
        <v>1</v>
      </c>
      <c r="H67" s="20" t="n">
        <v>1.41</v>
      </c>
      <c r="I67" s="10" t="str">
        <f aca="false">HYPERLINK("https://item.taobao.com/item.htm?id=606816197525","打开商品")</f>
        <v>打开商品</v>
      </c>
      <c r="J67" s="8" t="s">
        <v>236</v>
      </c>
    </row>
    <row r="68" customFormat="false" ht="64" hidden="false" customHeight="true" outlineLevel="0" collapsed="false">
      <c r="A68" s="1" t="n">
        <v>153</v>
      </c>
      <c r="B68" s="19" t="n">
        <v>46269</v>
      </c>
      <c r="C68" s="8" t="s">
        <v>711</v>
      </c>
      <c r="D68" s="8" t="s">
        <v>27</v>
      </c>
      <c r="E68" s="8" t="s">
        <v>789</v>
      </c>
      <c r="F68" s="8" t="s">
        <v>219</v>
      </c>
      <c r="G68" s="9" t="n">
        <v>100</v>
      </c>
      <c r="H68" s="20" t="n">
        <v>0.06</v>
      </c>
      <c r="I68" s="10" t="str">
        <f aca="false">HYPERLINK("https://item.taobao.com/item.htm?id=977236759812","打开商品")</f>
        <v>打开商品</v>
      </c>
      <c r="J68" s="8" t="s">
        <v>216</v>
      </c>
    </row>
    <row r="69" customFormat="false" ht="64" hidden="false" customHeight="true" outlineLevel="0" collapsed="false">
      <c r="A69" s="1" t="n">
        <v>154</v>
      </c>
      <c r="B69" s="19" t="n">
        <v>46269</v>
      </c>
      <c r="C69" s="8" t="s">
        <v>711</v>
      </c>
      <c r="D69" s="8" t="s">
        <v>790</v>
      </c>
      <c r="E69" s="8" t="s">
        <v>791</v>
      </c>
      <c r="F69" s="8" t="s">
        <v>792</v>
      </c>
      <c r="G69" s="9" t="n">
        <v>1</v>
      </c>
      <c r="H69" s="20" t="n">
        <v>9.84</v>
      </c>
      <c r="I69" s="10" t="str">
        <f aca="false">HYPERLINK("https://item.taobao.com/item.htm?id=581798084270","打开商品")</f>
        <v>打开商品</v>
      </c>
      <c r="J69" s="8" t="s">
        <v>793</v>
      </c>
    </row>
    <row r="70" customFormat="false" ht="64" hidden="false" customHeight="true" outlineLevel="0" collapsed="false">
      <c r="A70" s="1" t="n">
        <v>155</v>
      </c>
      <c r="B70" s="19" t="n">
        <v>46269</v>
      </c>
      <c r="C70" s="8" t="s">
        <v>711</v>
      </c>
      <c r="D70" s="8" t="s">
        <v>141</v>
      </c>
      <c r="E70" s="8" t="s">
        <v>728</v>
      </c>
      <c r="F70" s="8" t="s">
        <v>148</v>
      </c>
      <c r="G70" s="9" t="n">
        <v>1</v>
      </c>
      <c r="H70" s="20" t="n">
        <v>1.46</v>
      </c>
      <c r="I70" s="10" t="str">
        <f aca="false">HYPERLINK("https://item.taobao.com/item.htm?id=947267344247","打开商品")</f>
        <v>打开商品</v>
      </c>
      <c r="J70" s="8" t="s">
        <v>144</v>
      </c>
    </row>
    <row r="71" customFormat="false" ht="64" hidden="false" customHeight="true" outlineLevel="0" collapsed="false">
      <c r="A71" s="1" t="n">
        <v>156</v>
      </c>
      <c r="B71" s="19" t="n">
        <v>46269</v>
      </c>
      <c r="C71" s="8" t="s">
        <v>711</v>
      </c>
      <c r="D71" s="8" t="s">
        <v>141</v>
      </c>
      <c r="E71" s="8" t="s">
        <v>728</v>
      </c>
      <c r="F71" s="8" t="s">
        <v>142</v>
      </c>
      <c r="G71" s="9" t="n">
        <v>1</v>
      </c>
      <c r="H71" s="20" t="n">
        <v>1.42</v>
      </c>
      <c r="I71" s="10" t="str">
        <f aca="false">HYPERLINK("https://item.taobao.com/item.htm?id=947267344247","打开商品")</f>
        <v>打开商品</v>
      </c>
      <c r="J71" s="8" t="s">
        <v>708</v>
      </c>
    </row>
    <row r="72" customFormat="false" ht="64" hidden="false" customHeight="true" outlineLevel="0" collapsed="false">
      <c r="A72" s="1" t="n">
        <v>157</v>
      </c>
      <c r="B72" s="19" t="n">
        <v>46269</v>
      </c>
      <c r="C72" s="8" t="s">
        <v>711</v>
      </c>
      <c r="D72" s="8" t="s">
        <v>141</v>
      </c>
      <c r="E72" s="8" t="s">
        <v>728</v>
      </c>
      <c r="F72" s="8" t="s">
        <v>250</v>
      </c>
      <c r="G72" s="9" t="n">
        <v>1</v>
      </c>
      <c r="H72" s="20" t="n">
        <v>1.46</v>
      </c>
      <c r="I72" s="10" t="str">
        <f aca="false">HYPERLINK("https://item.taobao.com/item.htm?id=947267344247","打开商品")</f>
        <v>打开商品</v>
      </c>
      <c r="J72" s="8" t="s">
        <v>247</v>
      </c>
    </row>
    <row r="73" customFormat="false" ht="64" hidden="false" customHeight="true" outlineLevel="0" collapsed="false">
      <c r="A73" s="1" t="n">
        <v>158</v>
      </c>
      <c r="B73" s="19" t="n">
        <v>46269</v>
      </c>
      <c r="C73" s="8" t="s">
        <v>711</v>
      </c>
      <c r="D73" s="8" t="s">
        <v>233</v>
      </c>
      <c r="E73" s="8" t="s">
        <v>794</v>
      </c>
      <c r="F73" s="8" t="s">
        <v>234</v>
      </c>
      <c r="G73" s="9" t="n">
        <v>1</v>
      </c>
      <c r="H73" s="20" t="n">
        <v>1.8</v>
      </c>
      <c r="I73" s="10" t="str">
        <f aca="false">HYPERLINK("https://item.taobao.com/item.htm?id=1025817117811","打开商品")</f>
        <v>打开商品</v>
      </c>
      <c r="J73" s="8" t="s">
        <v>230</v>
      </c>
    </row>
    <row r="74" customFormat="false" ht="64" hidden="false" customHeight="true" outlineLevel="0" collapsed="false">
      <c r="A74" s="1" t="n">
        <v>159</v>
      </c>
      <c r="B74" s="19" t="n">
        <v>46269</v>
      </c>
      <c r="C74" s="8" t="s">
        <v>711</v>
      </c>
      <c r="D74" s="8" t="s">
        <v>233</v>
      </c>
      <c r="E74" s="8" t="s">
        <v>794</v>
      </c>
      <c r="F74" s="8" t="s">
        <v>795</v>
      </c>
      <c r="G74" s="9" t="n">
        <v>1</v>
      </c>
      <c r="H74" s="20" t="n">
        <v>1.8</v>
      </c>
      <c r="I74" s="10" t="str">
        <f aca="false">HYPERLINK("https://item.taobao.com/item.htm?id=1025817117811","打开商品")</f>
        <v>打开商品</v>
      </c>
      <c r="J74" s="8" t="s">
        <v>708</v>
      </c>
    </row>
    <row r="75" customFormat="false" ht="64" hidden="false" customHeight="true" outlineLevel="0" collapsed="false">
      <c r="A75" s="1" t="n">
        <v>160</v>
      </c>
      <c r="B75" s="19" t="n">
        <v>46269</v>
      </c>
      <c r="C75" s="8" t="s">
        <v>711</v>
      </c>
      <c r="D75" s="8" t="s">
        <v>228</v>
      </c>
      <c r="E75" s="8" t="s">
        <v>796</v>
      </c>
      <c r="F75" s="8" t="s">
        <v>779</v>
      </c>
      <c r="G75" s="9" t="n">
        <v>50</v>
      </c>
      <c r="H75" s="20" t="n">
        <v>0.06</v>
      </c>
      <c r="I75" s="10" t="str">
        <f aca="false">HYPERLINK("https://item.taobao.com/item.htm?id=891785167202","打开商品")</f>
        <v>打开商品</v>
      </c>
      <c r="J75" s="8" t="s">
        <v>226</v>
      </c>
    </row>
    <row r="76" customFormat="false" ht="64" hidden="false" customHeight="true" outlineLevel="0" collapsed="false">
      <c r="A76" s="1" t="n">
        <v>161</v>
      </c>
      <c r="B76" s="19" t="n">
        <v>46269</v>
      </c>
      <c r="C76" s="8" t="s">
        <v>711</v>
      </c>
      <c r="D76" s="8" t="s">
        <v>273</v>
      </c>
      <c r="E76" s="8" t="s">
        <v>797</v>
      </c>
      <c r="F76" s="8" t="s">
        <v>779</v>
      </c>
      <c r="G76" s="9" t="n">
        <v>10</v>
      </c>
      <c r="H76" s="20" t="n">
        <v>0.43</v>
      </c>
      <c r="I76" s="10" t="str">
        <f aca="false">HYPERLINK("https://item.taobao.com/item.htm?id=705642638300","打开商品")</f>
        <v>打开商品</v>
      </c>
      <c r="J76" s="8" t="s">
        <v>270</v>
      </c>
    </row>
    <row r="77" customFormat="false" ht="64" hidden="false" customHeight="true" outlineLevel="0" collapsed="false">
      <c r="A77" s="1" t="n">
        <v>162</v>
      </c>
      <c r="B77" s="19" t="n">
        <v>46269</v>
      </c>
      <c r="C77" s="8" t="s">
        <v>711</v>
      </c>
      <c r="D77" s="8" t="s">
        <v>268</v>
      </c>
      <c r="E77" s="8" t="s">
        <v>798</v>
      </c>
      <c r="F77" s="8" t="s">
        <v>266</v>
      </c>
      <c r="G77" s="9" t="n">
        <v>10</v>
      </c>
      <c r="H77" s="20" t="n">
        <v>0.47</v>
      </c>
      <c r="I77" s="10" t="str">
        <f aca="false">HYPERLINK("https://item.taobao.com/item.htm?id=747094785928","打开商品")</f>
        <v>打开商品</v>
      </c>
      <c r="J77" s="8" t="s">
        <v>266</v>
      </c>
    </row>
    <row r="78" customFormat="false" ht="64" hidden="false" customHeight="true" outlineLevel="0" collapsed="false">
      <c r="A78" s="1" t="n">
        <v>178</v>
      </c>
      <c r="B78" s="19" t="n">
        <v>46266</v>
      </c>
      <c r="C78" s="8" t="s">
        <v>711</v>
      </c>
      <c r="D78" s="8" t="s">
        <v>228</v>
      </c>
      <c r="E78" s="8" t="s">
        <v>783</v>
      </c>
      <c r="F78" s="8" t="s">
        <v>779</v>
      </c>
      <c r="G78" s="9" t="n">
        <v>1</v>
      </c>
      <c r="H78" s="20" t="n">
        <v>21.17</v>
      </c>
      <c r="I78" s="10" t="str">
        <f aca="false">HYPERLINK("https://item.taobao.com/item.htm?id=1027587805193","打开商品")</f>
        <v>打开商品</v>
      </c>
      <c r="J78" s="8" t="s">
        <v>708</v>
      </c>
    </row>
    <row r="79" customFormat="false" ht="64" hidden="false" customHeight="true" outlineLevel="0" collapsed="false">
      <c r="A79" s="1" t="n">
        <v>196</v>
      </c>
      <c r="B79" s="19" t="n">
        <v>46258</v>
      </c>
      <c r="C79" s="8" t="s">
        <v>711</v>
      </c>
      <c r="D79" s="8" t="s">
        <v>27</v>
      </c>
      <c r="E79" s="8" t="s">
        <v>727</v>
      </c>
      <c r="F79" s="8" t="s">
        <v>28</v>
      </c>
      <c r="G79" s="9" t="n">
        <v>50</v>
      </c>
      <c r="H79" s="20" t="n">
        <v>0.03</v>
      </c>
      <c r="I79" s="10" t="str">
        <f aca="false">HYPERLINK("https://item.taobao.com/item.htm?id=630712731066","打开商品")</f>
        <v>打开商品</v>
      </c>
      <c r="J79" s="8" t="s">
        <v>708</v>
      </c>
    </row>
    <row r="80" customFormat="false" ht="64" hidden="false" customHeight="true" outlineLevel="0" collapsed="false">
      <c r="A80" s="1" t="n">
        <v>203</v>
      </c>
      <c r="B80" s="19" t="n">
        <v>46258</v>
      </c>
      <c r="C80" s="8" t="s">
        <v>711</v>
      </c>
      <c r="D80" s="8" t="s">
        <v>170</v>
      </c>
      <c r="E80" s="8" t="s">
        <v>799</v>
      </c>
      <c r="F80" s="8" t="s">
        <v>199</v>
      </c>
      <c r="G80" s="9" t="n">
        <v>5</v>
      </c>
      <c r="H80" s="20" t="n">
        <v>1.28</v>
      </c>
      <c r="I80" s="10" t="str">
        <f aca="false">HYPERLINK("https://item.taobao.com/item.htm?id=969642590399","打开商品")</f>
        <v>打开商品</v>
      </c>
      <c r="J80" s="8" t="s">
        <v>199</v>
      </c>
    </row>
    <row r="81" customFormat="false" ht="64" hidden="false" customHeight="true" outlineLevel="0" collapsed="false">
      <c r="A81" s="1" t="n">
        <v>205</v>
      </c>
      <c r="B81" s="19" t="n">
        <v>46258</v>
      </c>
      <c r="C81" s="8" t="s">
        <v>711</v>
      </c>
      <c r="D81" s="8" t="s">
        <v>27</v>
      </c>
      <c r="E81" s="8" t="s">
        <v>736</v>
      </c>
      <c r="F81" s="8" t="s">
        <v>43</v>
      </c>
      <c r="G81" s="9" t="n">
        <v>1</v>
      </c>
      <c r="H81" s="20" t="n">
        <v>1.98</v>
      </c>
      <c r="I81" s="10" t="str">
        <f aca="false">HYPERLINK("https://item.taobao.com/item.htm?id=731471380840","打开商品")</f>
        <v>打开商品</v>
      </c>
      <c r="J81" s="8" t="s">
        <v>708</v>
      </c>
    </row>
    <row r="82" customFormat="false" ht="64" hidden="false" customHeight="true" outlineLevel="0" collapsed="false">
      <c r="A82" s="1" t="n">
        <v>206</v>
      </c>
      <c r="B82" s="19" t="n">
        <v>46258</v>
      </c>
      <c r="C82" s="8" t="s">
        <v>711</v>
      </c>
      <c r="D82" s="8" t="s">
        <v>27</v>
      </c>
      <c r="E82" s="8" t="s">
        <v>800</v>
      </c>
      <c r="F82" s="8" t="s">
        <v>48</v>
      </c>
      <c r="G82" s="9" t="n">
        <v>10</v>
      </c>
      <c r="H82" s="20" t="n">
        <v>0.12</v>
      </c>
      <c r="I82" s="10" t="str">
        <f aca="false">HYPERLINK("https://item.taobao.com/item.htm?id=730407108775","打开商品")</f>
        <v>打开商品</v>
      </c>
      <c r="J82" s="8" t="s">
        <v>45</v>
      </c>
    </row>
    <row r="83" customFormat="false" ht="64" hidden="false" customHeight="true" outlineLevel="0" collapsed="false">
      <c r="A83" s="1" t="n">
        <v>209</v>
      </c>
      <c r="B83" s="19" t="n">
        <v>46256</v>
      </c>
      <c r="C83" s="8" t="s">
        <v>801</v>
      </c>
      <c r="D83" s="8" t="s">
        <v>802</v>
      </c>
      <c r="E83" s="8" t="s">
        <v>803</v>
      </c>
      <c r="F83" s="8" t="s">
        <v>804</v>
      </c>
      <c r="G83" s="9" t="n">
        <v>1</v>
      </c>
      <c r="H83" s="20" t="n">
        <v>169</v>
      </c>
      <c r="I83" s="10" t="str">
        <f aca="false">HYPERLINK("https://item.taobao.com/item.htm?id=956985590887","打开商品")</f>
        <v>打开商品</v>
      </c>
      <c r="J83" s="8" t="s">
        <v>805</v>
      </c>
    </row>
    <row r="84" customFormat="false" ht="64" hidden="false" customHeight="true" outlineLevel="0" collapsed="false">
      <c r="A84" s="1" t="n">
        <v>213</v>
      </c>
      <c r="B84" s="19" t="n">
        <v>46254</v>
      </c>
      <c r="C84" s="8" t="s">
        <v>711</v>
      </c>
      <c r="D84" s="8" t="s">
        <v>141</v>
      </c>
      <c r="E84" s="8" t="s">
        <v>728</v>
      </c>
      <c r="F84" s="8" t="s">
        <v>255</v>
      </c>
      <c r="G84" s="9" t="n">
        <v>1</v>
      </c>
      <c r="H84" s="20" t="n">
        <v>1.44</v>
      </c>
      <c r="I84" s="10" t="str">
        <f aca="false">HYPERLINK("https://item.taobao.com/item.htm?id=947267344247","打开商品")</f>
        <v>打开商品</v>
      </c>
      <c r="J84" s="8" t="s">
        <v>252</v>
      </c>
    </row>
    <row r="85" customFormat="false" ht="64" hidden="false" customHeight="true" outlineLevel="0" collapsed="false">
      <c r="A85" s="1" t="n">
        <v>220</v>
      </c>
      <c r="B85" s="19" t="n">
        <v>46253</v>
      </c>
      <c r="C85" s="8" t="s">
        <v>711</v>
      </c>
      <c r="D85" s="8" t="s">
        <v>806</v>
      </c>
      <c r="E85" s="8" t="s">
        <v>807</v>
      </c>
      <c r="F85" s="8" t="s">
        <v>808</v>
      </c>
      <c r="G85" s="9" t="n">
        <v>1</v>
      </c>
      <c r="H85" s="20" t="n">
        <v>3.28</v>
      </c>
      <c r="I85" s="10" t="str">
        <f aca="false">HYPERLINK("https://item.taobao.com/item.htm?id=744370287305","打开商品")</f>
        <v>打开商品</v>
      </c>
      <c r="J85" s="8" t="s">
        <v>809</v>
      </c>
    </row>
    <row r="86" customFormat="false" ht="64" hidden="false" customHeight="true" outlineLevel="0" collapsed="false">
      <c r="A86" s="1" t="n">
        <v>12</v>
      </c>
      <c r="B86" s="19" t="n">
        <v>46300.4844444444</v>
      </c>
      <c r="C86" s="8" t="s">
        <v>706</v>
      </c>
      <c r="D86" s="8" t="s">
        <v>675</v>
      </c>
      <c r="E86" s="8" t="s">
        <v>810</v>
      </c>
      <c r="F86" s="8" t="s">
        <v>680</v>
      </c>
      <c r="G86" s="9" t="n">
        <v>1</v>
      </c>
      <c r="H86" s="20" t="n">
        <v>0</v>
      </c>
      <c r="I86" s="10" t="str">
        <f aca="false">HYPERLINK("https://item.taobao.com/item.htm?id=534923831046","打开订单商品")</f>
        <v>打开订单商品</v>
      </c>
      <c r="J86" s="8" t="s">
        <v>811</v>
      </c>
    </row>
    <row r="87" customFormat="false" ht="64" hidden="false" customHeight="true" outlineLevel="0" collapsed="false">
      <c r="A87" s="1" t="n">
        <v>22</v>
      </c>
      <c r="B87" s="19" t="n">
        <v>46294.9525925926</v>
      </c>
      <c r="C87" s="8" t="s">
        <v>711</v>
      </c>
      <c r="D87" s="8" t="s">
        <v>625</v>
      </c>
      <c r="E87" s="8" t="s">
        <v>812</v>
      </c>
      <c r="F87" s="8" t="s">
        <v>626</v>
      </c>
      <c r="G87" s="9" t="n">
        <v>1</v>
      </c>
      <c r="H87" s="20" t="n">
        <v>84.59</v>
      </c>
      <c r="I87" s="10" t="str">
        <f aca="false">HYPERLINK("https://item.taobao.com/item.htm?id=585415365001","打开订单商品")</f>
        <v>打开订单商品</v>
      </c>
      <c r="J87" s="8" t="s">
        <v>813</v>
      </c>
    </row>
    <row r="88" customFormat="false" ht="64" hidden="false" customHeight="true" outlineLevel="0" collapsed="false">
      <c r="A88" s="1" t="n">
        <v>29</v>
      </c>
      <c r="B88" s="19" t="n">
        <v>46291.7980902778</v>
      </c>
      <c r="C88" s="8" t="s">
        <v>711</v>
      </c>
      <c r="D88" s="8" t="s">
        <v>643</v>
      </c>
      <c r="E88" s="8" t="s">
        <v>814</v>
      </c>
      <c r="F88" s="8" t="s">
        <v>644</v>
      </c>
      <c r="G88" s="9" t="n">
        <v>2</v>
      </c>
      <c r="H88" s="20" t="n">
        <v>3.63</v>
      </c>
      <c r="I88" s="10" t="str">
        <f aca="false">HYPERLINK("https://item.taobao.com/item.htm?id=781764816472","打开订单商品")</f>
        <v>打开订单商品</v>
      </c>
      <c r="J88" s="8" t="s">
        <v>815</v>
      </c>
    </row>
    <row r="89" customFormat="false" ht="64" hidden="false" customHeight="true" outlineLevel="0" collapsed="false">
      <c r="A89" s="1" t="n">
        <v>30</v>
      </c>
      <c r="B89" s="19" t="n">
        <v>46291.7979166667</v>
      </c>
      <c r="C89" s="8" t="s">
        <v>711</v>
      </c>
      <c r="D89" s="8" t="s">
        <v>643</v>
      </c>
      <c r="E89" s="8" t="s">
        <v>814</v>
      </c>
      <c r="F89" s="8" t="s">
        <v>644</v>
      </c>
      <c r="G89" s="9" t="n">
        <v>1</v>
      </c>
      <c r="H89" s="20" t="n">
        <v>3.52</v>
      </c>
      <c r="I89" s="10" t="str">
        <f aca="false">HYPERLINK("https://item.taobao.com/item.htm?id=781764816472","打开订单商品")</f>
        <v>打开订单商品</v>
      </c>
      <c r="J89" s="8" t="s">
        <v>816</v>
      </c>
    </row>
    <row r="90" customFormat="false" ht="64" hidden="false" customHeight="true" outlineLevel="0" collapsed="false">
      <c r="A90" s="1" t="n">
        <v>32</v>
      </c>
      <c r="B90" s="19" t="n">
        <v>46291.0479398148</v>
      </c>
      <c r="C90" s="8" t="s">
        <v>711</v>
      </c>
      <c r="D90" s="8" t="s">
        <v>649</v>
      </c>
      <c r="E90" s="8" t="s">
        <v>817</v>
      </c>
      <c r="F90" s="8" t="s">
        <v>650</v>
      </c>
      <c r="G90" s="9" t="n">
        <v>1</v>
      </c>
      <c r="H90" s="20" t="n">
        <v>3.42</v>
      </c>
      <c r="I90" s="10" t="str">
        <f aca="false">HYPERLINK("https://item.taobao.com/item.htm?id=736162720327","打开订单商品")</f>
        <v>打开订单商品</v>
      </c>
      <c r="J90" s="8" t="s">
        <v>818</v>
      </c>
    </row>
    <row r="91" customFormat="false" ht="15.65" hidden="false" customHeight="false" outlineLevel="0" collapsed="false">
      <c r="A91" s="1" t="n">
        <v>37</v>
      </c>
      <c r="B91" s="19" t="n">
        <v>46289.0137384259</v>
      </c>
      <c r="C91" s="8" t="s">
        <v>711</v>
      </c>
      <c r="D91" s="8" t="s">
        <v>656</v>
      </c>
      <c r="E91" s="8" t="s">
        <v>819</v>
      </c>
      <c r="F91" s="8" t="s">
        <v>657</v>
      </c>
      <c r="G91" s="9" t="n">
        <v>1</v>
      </c>
      <c r="H91" s="20" t="n">
        <v>0.99</v>
      </c>
      <c r="I91" s="10" t="str">
        <f aca="false">HYPERLINK("https://item.taobao.com/item.htm?id=945215173380","打开订单商品")</f>
        <v>打开订单商品</v>
      </c>
      <c r="J91" s="8" t="s">
        <v>820</v>
      </c>
    </row>
    <row r="92" customFormat="false" ht="15.65" hidden="false" customHeight="false" outlineLevel="0" collapsed="false">
      <c r="A92" s="1" t="n">
        <v>39</v>
      </c>
      <c r="B92" s="19" t="n">
        <v>46286.4381134259</v>
      </c>
      <c r="C92" s="8" t="s">
        <v>711</v>
      </c>
      <c r="D92" s="8" t="s">
        <v>821</v>
      </c>
      <c r="E92" s="8" t="s">
        <v>822</v>
      </c>
      <c r="F92" s="8" t="s">
        <v>823</v>
      </c>
      <c r="G92" s="9" t="n">
        <v>1</v>
      </c>
      <c r="H92" s="20" t="n">
        <v>3.63</v>
      </c>
      <c r="I92" s="10" t="str">
        <f aca="false">HYPERLINK("https://item.taobao.com/item.htm?id=567201709691","打开订单商品")</f>
        <v>打开订单商品</v>
      </c>
      <c r="J92" s="8" t="s">
        <v>824</v>
      </c>
    </row>
    <row r="93" customFormat="false" ht="15.65" hidden="false" customHeight="false" outlineLevel="0" collapsed="false">
      <c r="A93" s="1" t="n">
        <v>40</v>
      </c>
      <c r="B93" s="19" t="n">
        <v>46286.4381134259</v>
      </c>
      <c r="C93" s="8" t="s">
        <v>711</v>
      </c>
      <c r="D93" s="8" t="s">
        <v>821</v>
      </c>
      <c r="E93" s="8" t="s">
        <v>822</v>
      </c>
      <c r="F93" s="8" t="s">
        <v>825</v>
      </c>
      <c r="G93" s="9" t="n">
        <v>1</v>
      </c>
      <c r="H93" s="20" t="n">
        <v>3.3</v>
      </c>
      <c r="I93" s="10" t="str">
        <f aca="false">HYPERLINK("https://item.taobao.com/item.htm?id=567201709691","打开订单商品")</f>
        <v>打开订单商品</v>
      </c>
      <c r="J93" s="8" t="s">
        <v>826</v>
      </c>
    </row>
    <row r="94" customFormat="false" ht="15.65" hidden="false" customHeight="false" outlineLevel="0" collapsed="false">
      <c r="A94" s="1" t="n">
        <v>85</v>
      </c>
      <c r="B94" s="19" t="n">
        <v>46277.8198726852</v>
      </c>
      <c r="C94" s="8" t="s">
        <v>711</v>
      </c>
      <c r="D94" s="8" t="s">
        <v>675</v>
      </c>
      <c r="E94" s="8" t="s">
        <v>810</v>
      </c>
      <c r="F94" s="8" t="s">
        <v>690</v>
      </c>
      <c r="G94" s="9" t="n">
        <v>1</v>
      </c>
      <c r="H94" s="20" t="n">
        <v>3.88</v>
      </c>
      <c r="I94" s="10" t="str">
        <f aca="false">HYPERLINK("https://item.taobao.com/item.htm?id=534923831046","打开订单商品")</f>
        <v>打开订单商品</v>
      </c>
      <c r="J94" s="8" t="s">
        <v>827</v>
      </c>
    </row>
    <row r="95" customFormat="false" ht="15.65" hidden="false" customHeight="false" outlineLevel="0" collapsed="false">
      <c r="A95" s="1" t="n">
        <v>86</v>
      </c>
      <c r="B95" s="19" t="n">
        <v>46277.8198726852</v>
      </c>
      <c r="C95" s="8" t="s">
        <v>711</v>
      </c>
      <c r="D95" s="8" t="s">
        <v>675</v>
      </c>
      <c r="E95" s="8" t="s">
        <v>810</v>
      </c>
      <c r="F95" s="8" t="s">
        <v>687</v>
      </c>
      <c r="G95" s="9" t="n">
        <v>1</v>
      </c>
      <c r="H95" s="20" t="n">
        <v>3.59</v>
      </c>
      <c r="I95" s="10" t="str">
        <f aca="false">HYPERLINK("https://item.taobao.com/item.htm?id=534923831046","打开订单商品")</f>
        <v>打开订单商品</v>
      </c>
      <c r="J95" s="8" t="s">
        <v>828</v>
      </c>
    </row>
    <row r="96" customFormat="false" ht="15.65" hidden="false" customHeight="false" outlineLevel="0" collapsed="false">
      <c r="A96" s="1" t="n">
        <v>87</v>
      </c>
      <c r="B96" s="19" t="n">
        <v>46277.8198726852</v>
      </c>
      <c r="C96" s="8" t="s">
        <v>711</v>
      </c>
      <c r="D96" s="8" t="s">
        <v>675</v>
      </c>
      <c r="E96" s="8" t="s">
        <v>810</v>
      </c>
      <c r="F96" s="8" t="s">
        <v>684</v>
      </c>
      <c r="G96" s="9" t="n">
        <v>1</v>
      </c>
      <c r="H96" s="20" t="n">
        <v>3.31</v>
      </c>
      <c r="I96" s="10" t="str">
        <f aca="false">HYPERLINK("https://item.taobao.com/item.htm?id=534923831046","打开订单商品")</f>
        <v>打开订单商品</v>
      </c>
      <c r="J96" s="8" t="s">
        <v>829</v>
      </c>
    </row>
    <row r="97" customFormat="false" ht="15.65" hidden="false" customHeight="false" outlineLevel="0" collapsed="false">
      <c r="A97" s="1" t="n">
        <v>88</v>
      </c>
      <c r="B97" s="19" t="n">
        <v>46277.8198726852</v>
      </c>
      <c r="C97" s="8" t="s">
        <v>711</v>
      </c>
      <c r="D97" s="8" t="s">
        <v>675</v>
      </c>
      <c r="E97" s="8" t="s">
        <v>810</v>
      </c>
      <c r="F97" s="8" t="s">
        <v>676</v>
      </c>
      <c r="G97" s="9" t="n">
        <v>1</v>
      </c>
      <c r="H97" s="20" t="n">
        <v>3.03</v>
      </c>
      <c r="I97" s="10" t="str">
        <f aca="false">HYPERLINK("https://item.taobao.com/item.htm?id=534923831046","打开订单商品")</f>
        <v>打开订单商品</v>
      </c>
      <c r="J97" s="8" t="s">
        <v>830</v>
      </c>
    </row>
    <row r="98" customFormat="false" ht="15.65" hidden="false" customHeight="false" outlineLevel="0" collapsed="false">
      <c r="A98" s="1" t="n">
        <v>89</v>
      </c>
      <c r="B98" s="19" t="n">
        <v>46277.8198726852</v>
      </c>
      <c r="C98" s="8" t="s">
        <v>711</v>
      </c>
      <c r="D98" s="8" t="s">
        <v>675</v>
      </c>
      <c r="E98" s="8" t="s">
        <v>810</v>
      </c>
      <c r="F98" s="8" t="s">
        <v>693</v>
      </c>
      <c r="G98" s="9" t="n">
        <v>1</v>
      </c>
      <c r="H98" s="20" t="n">
        <v>3.59</v>
      </c>
      <c r="I98" s="10" t="str">
        <f aca="false">HYPERLINK("https://item.taobao.com/item.htm?id=534923831046","打开订单商品")</f>
        <v>打开订单商品</v>
      </c>
      <c r="J98" s="8" t="s">
        <v>831</v>
      </c>
    </row>
    <row r="99" customFormat="false" ht="15.65" hidden="false" customHeight="false" outlineLevel="0" collapsed="false">
      <c r="A99" s="1" t="n">
        <v>104</v>
      </c>
      <c r="B99" s="19" t="n">
        <v>46274.8817939815</v>
      </c>
      <c r="C99" s="8" t="s">
        <v>711</v>
      </c>
      <c r="D99" s="8" t="s">
        <v>613</v>
      </c>
      <c r="E99" s="8" t="s">
        <v>832</v>
      </c>
      <c r="F99" s="8" t="s">
        <v>611</v>
      </c>
      <c r="G99" s="9" t="n">
        <v>13</v>
      </c>
      <c r="H99" s="20" t="n">
        <v>99</v>
      </c>
      <c r="I99" s="10" t="str">
        <f aca="false">HYPERLINK("https://item.taobao.com/item.htm?id=1078248851201","打开订单商品")</f>
        <v>打开订单商品</v>
      </c>
      <c r="J99" s="8" t="s">
        <v>833</v>
      </c>
    </row>
    <row r="100" customFormat="false" ht="15.65" hidden="false" customHeight="false" outlineLevel="0" collapsed="false">
      <c r="A100" s="1" t="n">
        <v>111</v>
      </c>
      <c r="B100" s="19" t="n">
        <v>46272.8961458333</v>
      </c>
      <c r="C100" s="8" t="s">
        <v>711</v>
      </c>
      <c r="D100" s="8" t="s">
        <v>663</v>
      </c>
      <c r="E100" s="8" t="s">
        <v>834</v>
      </c>
      <c r="F100" s="8" t="s">
        <v>664</v>
      </c>
      <c r="G100" s="9" t="n">
        <v>3</v>
      </c>
      <c r="H100" s="20" t="n">
        <v>1.94</v>
      </c>
      <c r="I100" s="10" t="str">
        <f aca="false">HYPERLINK("https://item.taobao.com/item.htm?id=625390659071","打开订单商品")</f>
        <v>打开订单商品</v>
      </c>
      <c r="J100" s="8" t="s">
        <v>835</v>
      </c>
    </row>
    <row r="101" customFormat="false" ht="15.65" hidden="false" customHeight="false" outlineLevel="0" collapsed="false">
      <c r="A101" s="1" t="n">
        <v>112</v>
      </c>
      <c r="B101" s="19" t="n">
        <v>46272.8961458333</v>
      </c>
      <c r="C101" s="8" t="s">
        <v>711</v>
      </c>
      <c r="D101" s="8" t="s">
        <v>663</v>
      </c>
      <c r="E101" s="8" t="s">
        <v>836</v>
      </c>
      <c r="F101" s="8" t="s">
        <v>669</v>
      </c>
      <c r="G101" s="9" t="n">
        <v>10</v>
      </c>
      <c r="H101" s="20" t="n">
        <v>2.91</v>
      </c>
      <c r="I101" s="10" t="str">
        <f aca="false">HYPERLINK("https://item.taobao.com/item.htm?id=733598659967","打开订单商品")</f>
        <v>打开订单商品</v>
      </c>
      <c r="J101" s="8" t="s">
        <v>837</v>
      </c>
    </row>
    <row r="102" customFormat="false" ht="15.65" hidden="false" customHeight="false" outlineLevel="0" collapsed="false">
      <c r="A102" s="1" t="n">
        <v>168</v>
      </c>
      <c r="B102" s="19" t="n">
        <v>46266.8829513889</v>
      </c>
      <c r="C102" s="8" t="s">
        <v>711</v>
      </c>
      <c r="D102" s="8" t="s">
        <v>613</v>
      </c>
      <c r="E102" s="8" t="s">
        <v>832</v>
      </c>
      <c r="F102" s="8" t="s">
        <v>611</v>
      </c>
      <c r="G102" s="9" t="n">
        <v>2</v>
      </c>
      <c r="H102" s="20" t="n">
        <v>99</v>
      </c>
      <c r="I102" s="10" t="str">
        <f aca="false">HYPERLINK("https://item.taobao.com/item.htm?id=1078248851201","打开订单商品")</f>
        <v>打开订单商品</v>
      </c>
      <c r="J102" s="8" t="s">
        <v>838</v>
      </c>
    </row>
    <row r="103" customFormat="false" ht="15.65" hidden="false" customHeight="false" outlineLevel="0" collapsed="false">
      <c r="A103" s="1" t="n">
        <v>169</v>
      </c>
      <c r="B103" s="19" t="n">
        <v>46266.8829513889</v>
      </c>
      <c r="C103" s="8" t="s">
        <v>711</v>
      </c>
      <c r="D103" s="8" t="s">
        <v>613</v>
      </c>
      <c r="E103" s="8" t="s">
        <v>832</v>
      </c>
      <c r="F103" s="8" t="s">
        <v>839</v>
      </c>
      <c r="G103" s="9" t="n">
        <v>1</v>
      </c>
      <c r="H103" s="20" t="n">
        <v>45</v>
      </c>
      <c r="I103" s="10" t="str">
        <f aca="false">HYPERLINK("https://item.taobao.com/item.htm?id=1078248851201","打开订单商品")</f>
        <v>打开订单商品</v>
      </c>
      <c r="J103" s="8" t="s">
        <v>840</v>
      </c>
    </row>
    <row r="104" customFormat="false" ht="15.65" hidden="false" customHeight="false" outlineLevel="0" collapsed="false">
      <c r="A104" s="1" t="n">
        <v>172</v>
      </c>
      <c r="B104" s="19" t="n">
        <v>46266.6967476852</v>
      </c>
      <c r="C104" s="8" t="s">
        <v>711</v>
      </c>
      <c r="D104" s="8" t="s">
        <v>663</v>
      </c>
      <c r="E104" s="8" t="s">
        <v>836</v>
      </c>
      <c r="F104" s="8" t="s">
        <v>669</v>
      </c>
      <c r="G104" s="9" t="n">
        <v>2</v>
      </c>
      <c r="H104" s="20" t="n">
        <v>2.91</v>
      </c>
      <c r="I104" s="10" t="str">
        <f aca="false">HYPERLINK("https://item.taobao.com/item.htm?id=733598659967","打开订单商品")</f>
        <v>打开订单商品</v>
      </c>
      <c r="J104" s="8" t="s">
        <v>841</v>
      </c>
    </row>
    <row r="105" customFormat="false" ht="15.65" hidden="false" customHeight="false" outlineLevel="0" collapsed="false">
      <c r="A105" s="1" t="n">
        <v>173</v>
      </c>
      <c r="B105" s="19" t="n">
        <v>46266.6967476852</v>
      </c>
      <c r="C105" s="8" t="s">
        <v>711</v>
      </c>
      <c r="D105" s="8" t="s">
        <v>663</v>
      </c>
      <c r="E105" s="8" t="s">
        <v>834</v>
      </c>
      <c r="F105" s="8" t="s">
        <v>664</v>
      </c>
      <c r="G105" s="9" t="n">
        <v>2</v>
      </c>
      <c r="H105" s="20" t="n">
        <v>1.94</v>
      </c>
      <c r="I105" s="10" t="str">
        <f aca="false">HYPERLINK("https://item.taobao.com/item.htm?id=625390659071","打开订单商品")</f>
        <v>打开订单商品</v>
      </c>
      <c r="J105" s="8" t="s">
        <v>842</v>
      </c>
    </row>
    <row r="106" customFormat="false" ht="15.65" hidden="false" customHeight="false" outlineLevel="0" collapsed="false">
      <c r="A106" s="1" t="n">
        <v>180</v>
      </c>
      <c r="B106" s="19" t="n">
        <v>46265.3613773148</v>
      </c>
      <c r="C106" s="8" t="s">
        <v>711</v>
      </c>
      <c r="D106" s="8" t="s">
        <v>606</v>
      </c>
      <c r="E106" s="8" t="s">
        <v>843</v>
      </c>
      <c r="F106" s="8" t="s">
        <v>619</v>
      </c>
      <c r="G106" s="9" t="n">
        <v>1</v>
      </c>
      <c r="H106" s="20" t="n">
        <v>129.99</v>
      </c>
      <c r="I106" s="10" t="str">
        <f aca="false">HYPERLINK("https://item.taobao.com/item.htm?id=768918125679","打开订单商品")</f>
        <v>打开订单商品</v>
      </c>
      <c r="J106" s="8" t="s">
        <v>844</v>
      </c>
    </row>
    <row r="107" customFormat="false" ht="15.65" hidden="false" customHeight="false" outlineLevel="0" collapsed="false">
      <c r="A107" s="1" t="n">
        <v>189</v>
      </c>
      <c r="B107" s="19" t="n">
        <v>46259.9707407408</v>
      </c>
      <c r="C107" s="8" t="s">
        <v>711</v>
      </c>
      <c r="D107" s="8" t="s">
        <v>718</v>
      </c>
      <c r="E107" s="8" t="s">
        <v>845</v>
      </c>
      <c r="F107" s="8" t="s">
        <v>846</v>
      </c>
      <c r="G107" s="9" t="n">
        <v>1</v>
      </c>
      <c r="H107" s="20" t="n">
        <v>106.68</v>
      </c>
      <c r="I107" s="10" t="str">
        <f aca="false">HYPERLINK("https://item.taobao.com/item.htm?id=588102758150","打开订单商品")</f>
        <v>打开订单商品</v>
      </c>
      <c r="J107" s="8" t="s">
        <v>847</v>
      </c>
    </row>
    <row r="108" customFormat="false" ht="15.65" hidden="false" customHeight="false" outlineLevel="0" collapsed="false">
      <c r="A108" s="1" t="n">
        <v>211</v>
      </c>
      <c r="B108" s="19" t="n">
        <v>46254.6453587963</v>
      </c>
      <c r="C108" s="8" t="s">
        <v>711</v>
      </c>
      <c r="D108" s="8" t="s">
        <v>802</v>
      </c>
      <c r="E108" s="8" t="s">
        <v>803</v>
      </c>
      <c r="F108" s="8" t="s">
        <v>804</v>
      </c>
      <c r="G108" s="9" t="n">
        <v>1</v>
      </c>
      <c r="H108" s="20" t="n">
        <v>188</v>
      </c>
      <c r="I108" s="10" t="str">
        <f aca="false">HYPERLINK("https://item.taobao.com/item.htm?id=956985590887","打开订单商品")</f>
        <v>打开订单商品</v>
      </c>
      <c r="J108" s="8" t="s">
        <v>848</v>
      </c>
    </row>
    <row r="109" customFormat="false" ht="15.65" hidden="false" customHeight="false" outlineLevel="0" collapsed="false">
      <c r="A109" s="1" t="n">
        <v>214</v>
      </c>
      <c r="B109" s="19" t="n">
        <v>46254.0581481482</v>
      </c>
      <c r="C109" s="8" t="s">
        <v>711</v>
      </c>
      <c r="D109" s="8" t="s">
        <v>849</v>
      </c>
      <c r="E109" s="8" t="s">
        <v>850</v>
      </c>
      <c r="F109" s="8" t="s">
        <v>851</v>
      </c>
      <c r="G109" s="9" t="n">
        <v>1</v>
      </c>
      <c r="H109" s="20" t="n">
        <v>4.69</v>
      </c>
      <c r="I109" s="10" t="str">
        <f aca="false">HYPERLINK("https://item.taobao.com/item.htm?id=621018369847","打开订单商品")</f>
        <v>打开订单商品</v>
      </c>
      <c r="J109" s="8" t="s">
        <v>852</v>
      </c>
    </row>
    <row r="110" customFormat="false" ht="15.65" hidden="false" customHeight="false" outlineLevel="0" collapsed="false"/>
    <row r="111" customFormat="false" ht="15.65" hidden="false" customHeight="false" outlineLevel="0" collapsed="false"/>
    <row r="112" customFormat="false" ht="15.65" hidden="false" customHeight="false" outlineLevel="0" collapsed="false"/>
    <row r="113" customFormat="false" ht="15.65" hidden="false" customHeight="false" outlineLevel="0" collapsed="false"/>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653"/>
    <pageSetUpPr fitToPage="false"/>
  </sheetPr>
  <dimension ref="A1:K21"/>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15"/>
    <col collapsed="false" customWidth="true" hidden="false" outlineLevel="0" max="2" min="2" style="0" width="30"/>
    <col collapsed="false" customWidth="true" hidden="false" outlineLevel="0" max="3" min="3" style="0" width="51"/>
    <col collapsed="false" customWidth="true" hidden="false" outlineLevel="0" max="4" min="4" style="0" width="30"/>
    <col collapsed="false" customWidth="true" hidden="false" outlineLevel="0" max="5" min="5" style="0" width="28"/>
    <col collapsed="false" customWidth="true" hidden="false" outlineLevel="0" max="6" min="6" style="0" width="20"/>
    <col collapsed="false" customWidth="true" hidden="false" outlineLevel="0" max="7" min="7" style="0" width="55"/>
    <col collapsed="false" customWidth="true" hidden="false" outlineLevel="0" max="8" min="8" style="0" width="14"/>
    <col collapsed="false" customWidth="true" hidden="false" outlineLevel="0" max="9" min="9" style="0" width="66"/>
    <col collapsed="false" customWidth="true" hidden="false" outlineLevel="0" max="10" min="10" style="0" width="12"/>
    <col collapsed="false" customWidth="true" hidden="false" outlineLevel="0" max="11" min="11" style="0" width="20"/>
  </cols>
  <sheetData>
    <row r="1" customFormat="false" ht="15" hidden="false" customHeight="false" outlineLevel="0" collapsed="false">
      <c r="A1" s="21"/>
      <c r="B1" s="21"/>
      <c r="C1" s="21"/>
      <c r="D1" s="21"/>
      <c r="E1" s="21"/>
      <c r="F1" s="21"/>
      <c r="G1" s="21"/>
      <c r="H1" s="21"/>
      <c r="I1" s="21"/>
      <c r="J1" s="21"/>
      <c r="K1" s="21"/>
    </row>
    <row r="2" customFormat="false" ht="27.6" hidden="false" customHeight="true" outlineLevel="0" collapsed="false">
      <c r="A2" s="22" t="s">
        <v>853</v>
      </c>
      <c r="B2" s="22"/>
      <c r="C2" s="22"/>
      <c r="D2" s="22"/>
      <c r="E2" s="22"/>
      <c r="F2" s="22"/>
      <c r="G2" s="22"/>
      <c r="H2" s="22"/>
      <c r="I2" s="22"/>
      <c r="J2" s="22"/>
      <c r="K2" s="22"/>
    </row>
    <row r="3" customFormat="false" ht="15" hidden="false" customHeight="true" outlineLevel="0" collapsed="false">
      <c r="A3" s="21" t="s">
        <v>854</v>
      </c>
      <c r="B3" s="21"/>
      <c r="C3" s="21"/>
      <c r="D3" s="21"/>
      <c r="E3" s="21"/>
      <c r="F3" s="21"/>
      <c r="G3" s="21"/>
      <c r="H3" s="21"/>
      <c r="I3" s="21"/>
      <c r="J3" s="21"/>
      <c r="K3" s="21"/>
    </row>
    <row r="4" customFormat="false" ht="15" hidden="false" customHeight="true" outlineLevel="0" collapsed="false">
      <c r="A4" s="21" t="s">
        <v>855</v>
      </c>
      <c r="B4" s="21"/>
      <c r="C4" s="21"/>
      <c r="D4" s="21"/>
      <c r="E4" s="21"/>
      <c r="F4" s="21"/>
      <c r="G4" s="21"/>
      <c r="H4" s="21"/>
      <c r="I4" s="21"/>
      <c r="J4" s="21"/>
      <c r="K4" s="21"/>
    </row>
    <row r="5" customFormat="false" ht="15" hidden="false" customHeight="true" outlineLevel="0" collapsed="false">
      <c r="A5" s="21" t="s">
        <v>548</v>
      </c>
      <c r="B5" s="21"/>
      <c r="C5" s="21"/>
      <c r="D5" s="21"/>
      <c r="E5" s="21"/>
      <c r="F5" s="21"/>
      <c r="G5" s="21"/>
      <c r="H5" s="21"/>
      <c r="I5" s="21"/>
      <c r="J5" s="21"/>
      <c r="K5" s="21"/>
    </row>
    <row r="6" customFormat="false" ht="38" hidden="false" customHeight="true" outlineLevel="0" collapsed="false">
      <c r="A6" s="23" t="s">
        <v>8</v>
      </c>
      <c r="B6" s="23" t="s">
        <v>549</v>
      </c>
      <c r="C6" s="23" t="s">
        <v>550</v>
      </c>
      <c r="D6" s="23" t="s">
        <v>551</v>
      </c>
      <c r="E6" s="23" t="s">
        <v>16</v>
      </c>
      <c r="F6" s="23" t="s">
        <v>552</v>
      </c>
      <c r="G6" s="23" t="s">
        <v>553</v>
      </c>
      <c r="H6" s="23" t="s">
        <v>554</v>
      </c>
      <c r="I6" s="23" t="s">
        <v>22</v>
      </c>
      <c r="J6" s="23" t="s">
        <v>555</v>
      </c>
      <c r="K6" s="23" t="s">
        <v>556</v>
      </c>
    </row>
    <row r="7" customFormat="false" ht="80" hidden="false" customHeight="true" outlineLevel="0" collapsed="false">
      <c r="A7" s="21" t="s">
        <v>856</v>
      </c>
      <c r="B7" s="21" t="s">
        <v>793</v>
      </c>
      <c r="C7" s="21" t="s">
        <v>857</v>
      </c>
      <c r="D7" s="21" t="s">
        <v>858</v>
      </c>
      <c r="E7" s="21" t="s">
        <v>790</v>
      </c>
      <c r="F7" s="24" t="str">
        <f aca="false">HYPERLINK("https://item.taobao.com/item.htm?id=581798084270","打开订单商品")</f>
        <v>打开订单商品</v>
      </c>
      <c r="G7" s="21" t="s">
        <v>792</v>
      </c>
      <c r="H7" s="21" t="n">
        <v>1</v>
      </c>
      <c r="I7" s="21" t="s">
        <v>859</v>
      </c>
      <c r="J7" s="21" t="n">
        <v>154</v>
      </c>
      <c r="K7" s="25" t="n">
        <v>9.84</v>
      </c>
    </row>
    <row r="8" customFormat="false" ht="80" hidden="false" customHeight="true" outlineLevel="0" collapsed="false">
      <c r="A8" s="21" t="s">
        <v>860</v>
      </c>
      <c r="B8" s="21" t="s">
        <v>758</v>
      </c>
      <c r="C8" s="21" t="s">
        <v>861</v>
      </c>
      <c r="D8" s="21" t="s">
        <v>862</v>
      </c>
      <c r="E8" s="21" t="s">
        <v>755</v>
      </c>
      <c r="F8" s="24" t="str">
        <f aca="false">HYPERLINK("https://item.taobao.com/item.htm?id=851008959999","打开订单商品")</f>
        <v>打开订单商品</v>
      </c>
      <c r="G8" s="21" t="s">
        <v>757</v>
      </c>
      <c r="H8" s="21" t="n">
        <v>1</v>
      </c>
      <c r="I8" s="21" t="s">
        <v>863</v>
      </c>
      <c r="J8" s="21" t="n">
        <v>107</v>
      </c>
      <c r="K8" s="25" t="n">
        <v>8.6</v>
      </c>
    </row>
    <row r="9" customFormat="false" ht="80" hidden="false" customHeight="true" outlineLevel="0" collapsed="false">
      <c r="A9" s="21" t="s">
        <v>860</v>
      </c>
      <c r="B9" s="21" t="s">
        <v>754</v>
      </c>
      <c r="C9" s="21" t="s">
        <v>864</v>
      </c>
      <c r="D9" s="21" t="s">
        <v>858</v>
      </c>
      <c r="E9" s="21" t="s">
        <v>751</v>
      </c>
      <c r="F9" s="24" t="str">
        <f aca="false">HYPERLINK("https://item.taobao.com/item.htm?id=19606507546","打开订单商品")</f>
        <v>打开订单商品</v>
      </c>
      <c r="G9" s="21" t="s">
        <v>753</v>
      </c>
      <c r="H9" s="21" t="n">
        <v>1</v>
      </c>
      <c r="I9" s="21" t="s">
        <v>865</v>
      </c>
      <c r="J9" s="21" t="n">
        <v>106</v>
      </c>
      <c r="K9" s="25" t="n">
        <v>20.99</v>
      </c>
    </row>
    <row r="10" customFormat="false" ht="80" hidden="false" customHeight="true" outlineLevel="0" collapsed="false">
      <c r="A10" s="21" t="s">
        <v>860</v>
      </c>
      <c r="B10" s="21" t="s">
        <v>721</v>
      </c>
      <c r="C10" s="21" t="s">
        <v>866</v>
      </c>
      <c r="D10" s="21" t="s">
        <v>867</v>
      </c>
      <c r="E10" s="21" t="s">
        <v>718</v>
      </c>
      <c r="F10" s="24" t="str">
        <f aca="false">HYPERLINK("https://item.taobao.com/item.htm?id=626569273184","打开订单商品")</f>
        <v>打开订单商品</v>
      </c>
      <c r="G10" s="21" t="s">
        <v>720</v>
      </c>
      <c r="H10" s="21" t="n">
        <v>1</v>
      </c>
      <c r="I10" s="21" t="s">
        <v>868</v>
      </c>
      <c r="J10" s="21" t="n">
        <v>35</v>
      </c>
      <c r="K10" s="25" t="n">
        <v>13.8</v>
      </c>
    </row>
    <row r="11" customFormat="false" ht="80" hidden="false" customHeight="true" outlineLevel="0" collapsed="false">
      <c r="A11" s="21" t="s">
        <v>869</v>
      </c>
      <c r="B11" s="21" t="s">
        <v>750</v>
      </c>
      <c r="C11" s="21" t="s">
        <v>870</v>
      </c>
      <c r="D11" s="21" t="s">
        <v>858</v>
      </c>
      <c r="E11" s="21" t="s">
        <v>747</v>
      </c>
      <c r="F11" s="24" t="str">
        <f aca="false">HYPERLINK("https://item.taobao.com/item.htm?id=979077591318","打开订单商品")</f>
        <v>打开订单商品</v>
      </c>
      <c r="G11" s="21" t="s">
        <v>749</v>
      </c>
      <c r="H11" s="21" t="n">
        <v>1</v>
      </c>
      <c r="I11" s="21" t="s">
        <v>871</v>
      </c>
      <c r="J11" s="21" t="n">
        <v>105</v>
      </c>
      <c r="K11" s="25" t="n">
        <v>1.98</v>
      </c>
    </row>
    <row r="12" customFormat="false" ht="80" hidden="false" customHeight="true" outlineLevel="0" collapsed="false">
      <c r="A12" s="21" t="s">
        <v>869</v>
      </c>
      <c r="B12" s="21" t="s">
        <v>805</v>
      </c>
      <c r="C12" s="21" t="s">
        <v>872</v>
      </c>
      <c r="D12" s="21" t="s">
        <v>858</v>
      </c>
      <c r="E12" s="21" t="s">
        <v>802</v>
      </c>
      <c r="F12" s="24" t="str">
        <f aca="false">HYPERLINK("https://item.taobao.com/item.htm?id=956985590887","打开订单商品")</f>
        <v>打开订单商品</v>
      </c>
      <c r="G12" s="21" t="s">
        <v>804</v>
      </c>
      <c r="H12" s="21" t="n">
        <v>1</v>
      </c>
      <c r="I12" s="21" t="s">
        <v>873</v>
      </c>
      <c r="J12" s="21" t="n">
        <v>211</v>
      </c>
      <c r="K12" s="25" t="n">
        <v>188</v>
      </c>
    </row>
    <row r="13" customFormat="false" ht="80" hidden="false" customHeight="true" outlineLevel="0" collapsed="false">
      <c r="A13" s="21" t="s">
        <v>874</v>
      </c>
      <c r="B13" s="21" t="s">
        <v>726</v>
      </c>
      <c r="C13" s="21" t="s">
        <v>875</v>
      </c>
      <c r="D13" s="21" t="s">
        <v>876</v>
      </c>
      <c r="E13" s="21" t="s">
        <v>723</v>
      </c>
      <c r="F13" s="24" t="str">
        <f aca="false">HYPERLINK("https://item.taobao.com/item.htm?id=566089419587","打开订单商品")</f>
        <v>打开订单商品</v>
      </c>
      <c r="G13" s="21" t="s">
        <v>725</v>
      </c>
      <c r="H13" s="21" t="n">
        <v>1</v>
      </c>
      <c r="I13" s="21" t="s">
        <v>877</v>
      </c>
      <c r="J13" s="21" t="n">
        <v>43</v>
      </c>
      <c r="K13" s="25" t="n">
        <v>268</v>
      </c>
    </row>
    <row r="14" customFormat="false" ht="80" hidden="false" customHeight="true" outlineLevel="0" collapsed="false">
      <c r="A14" s="21" t="s">
        <v>878</v>
      </c>
      <c r="B14" s="21" t="s">
        <v>733</v>
      </c>
      <c r="C14" s="21" t="s">
        <v>879</v>
      </c>
      <c r="D14" s="21" t="s">
        <v>876</v>
      </c>
      <c r="E14" s="21" t="s">
        <v>714</v>
      </c>
      <c r="F14" s="24" t="str">
        <f aca="false">HYPERLINK("https://item.taobao.com/item.htm?id=972313702890","打开订单商品")</f>
        <v>打开订单商品</v>
      </c>
      <c r="G14" s="21" t="s">
        <v>732</v>
      </c>
      <c r="H14" s="21" t="n">
        <v>1</v>
      </c>
      <c r="I14" s="21" t="s">
        <v>880</v>
      </c>
      <c r="J14" s="21" t="n">
        <v>76</v>
      </c>
      <c r="K14" s="25" t="n">
        <v>3.91</v>
      </c>
    </row>
    <row r="15" customFormat="false" ht="80" hidden="false" customHeight="true" outlineLevel="0" collapsed="false">
      <c r="A15" s="21" t="s">
        <v>860</v>
      </c>
      <c r="B15" s="21" t="s">
        <v>809</v>
      </c>
      <c r="C15" s="21" t="s">
        <v>881</v>
      </c>
      <c r="D15" s="21" t="s">
        <v>858</v>
      </c>
      <c r="E15" s="21" t="s">
        <v>806</v>
      </c>
      <c r="F15" s="24" t="str">
        <f aca="false">HYPERLINK("https://item.taobao.com/item.htm?id=744370287305","打开订单商品")</f>
        <v>打开订单商品</v>
      </c>
      <c r="G15" s="21" t="s">
        <v>808</v>
      </c>
      <c r="H15" s="21" t="n">
        <v>1</v>
      </c>
      <c r="I15" s="21" t="s">
        <v>882</v>
      </c>
      <c r="J15" s="21" t="n">
        <v>220</v>
      </c>
      <c r="K15" s="25" t="n">
        <v>3.28</v>
      </c>
    </row>
    <row r="16" customFormat="false" ht="80" hidden="false" customHeight="true" outlineLevel="0" collapsed="false">
      <c r="A16" s="21" t="s">
        <v>883</v>
      </c>
      <c r="B16" s="21" t="s">
        <v>717</v>
      </c>
      <c r="C16" s="21" t="s">
        <v>884</v>
      </c>
      <c r="D16" s="21" t="s">
        <v>858</v>
      </c>
      <c r="E16" s="21" t="s">
        <v>714</v>
      </c>
      <c r="F16" s="24" t="str">
        <f aca="false">HYPERLINK("https://item.taobao.com/item.htm?id=1049340097483","打开订单商品")</f>
        <v>打开订单商品</v>
      </c>
      <c r="G16" s="21" t="s">
        <v>716</v>
      </c>
      <c r="H16" s="21" t="n">
        <v>1</v>
      </c>
      <c r="I16" s="21" t="s">
        <v>885</v>
      </c>
      <c r="J16" s="21" t="n">
        <v>24</v>
      </c>
      <c r="K16" s="25" t="n">
        <v>14.16</v>
      </c>
    </row>
    <row r="17" customFormat="false" ht="80" hidden="false" customHeight="true" outlineLevel="0" collapsed="false">
      <c r="A17" s="21" t="s">
        <v>886</v>
      </c>
      <c r="B17" s="21" t="s">
        <v>887</v>
      </c>
      <c r="C17" s="21" t="s">
        <v>839</v>
      </c>
      <c r="D17" s="21" t="s">
        <v>888</v>
      </c>
      <c r="E17" s="21" t="s">
        <v>613</v>
      </c>
      <c r="F17" s="24" t="str">
        <f aca="false">HYPERLINK("https://item.taobao.com/item.htm?id=1078248851201","打开订单商品")</f>
        <v>打开订单商品</v>
      </c>
      <c r="G17" s="21" t="s">
        <v>839</v>
      </c>
      <c r="H17" s="21" t="n">
        <v>1</v>
      </c>
      <c r="I17" s="21" t="s">
        <v>889</v>
      </c>
      <c r="J17" s="21" t="n">
        <v>169</v>
      </c>
      <c r="K17" s="25" t="n">
        <v>45</v>
      </c>
    </row>
    <row r="18" customFormat="false" ht="80" hidden="false" customHeight="true" outlineLevel="0" collapsed="false">
      <c r="A18" s="21" t="s">
        <v>890</v>
      </c>
      <c r="B18" s="21" t="s">
        <v>891</v>
      </c>
      <c r="C18" s="21" t="s">
        <v>892</v>
      </c>
      <c r="D18" s="21" t="s">
        <v>893</v>
      </c>
      <c r="E18" s="21" t="s">
        <v>718</v>
      </c>
      <c r="F18" s="24" t="str">
        <f aca="false">HYPERLINK("https://item.taobao.com/item.htm?id=588102758150","打开订单商品")</f>
        <v>打开订单商品</v>
      </c>
      <c r="G18" s="21" t="s">
        <v>846</v>
      </c>
      <c r="H18" s="21" t="n">
        <v>1</v>
      </c>
      <c r="I18" s="21" t="s">
        <v>894</v>
      </c>
      <c r="J18" s="21" t="n">
        <v>189</v>
      </c>
      <c r="K18" s="25" t="n">
        <v>106.68</v>
      </c>
    </row>
    <row r="19" customFormat="false" ht="80" hidden="false" customHeight="true" outlineLevel="0" collapsed="false">
      <c r="A19" s="21" t="s">
        <v>895</v>
      </c>
      <c r="B19" s="21" t="s">
        <v>896</v>
      </c>
      <c r="C19" s="21" t="s">
        <v>897</v>
      </c>
      <c r="D19" s="21" t="s">
        <v>898</v>
      </c>
      <c r="E19" s="21" t="s">
        <v>821</v>
      </c>
      <c r="F19" s="24" t="str">
        <f aca="false">HYPERLINK("https://item.taobao.com/item.htm?id=567201709691","打开订单商品")</f>
        <v>打开订单商品</v>
      </c>
      <c r="G19" s="21" t="s">
        <v>823</v>
      </c>
      <c r="H19" s="21" t="n">
        <v>1</v>
      </c>
      <c r="I19" s="21" t="s">
        <v>899</v>
      </c>
      <c r="J19" s="21" t="n">
        <v>39</v>
      </c>
      <c r="K19" s="25" t="n">
        <v>3.63</v>
      </c>
    </row>
    <row r="20" customFormat="false" ht="80" hidden="false" customHeight="true" outlineLevel="0" collapsed="false">
      <c r="A20" s="21" t="s">
        <v>895</v>
      </c>
      <c r="B20" s="21" t="s">
        <v>900</v>
      </c>
      <c r="C20" s="21" t="s">
        <v>901</v>
      </c>
      <c r="D20" s="21" t="s">
        <v>898</v>
      </c>
      <c r="E20" s="21" t="s">
        <v>821</v>
      </c>
      <c r="F20" s="24" t="str">
        <f aca="false">HYPERLINK("https://item.taobao.com/item.htm?id=567201709691","打开订单商品")</f>
        <v>打开订单商品</v>
      </c>
      <c r="G20" s="21" t="s">
        <v>825</v>
      </c>
      <c r="H20" s="21" t="n">
        <v>1</v>
      </c>
      <c r="I20" s="21" t="s">
        <v>902</v>
      </c>
      <c r="J20" s="21" t="n">
        <v>40</v>
      </c>
      <c r="K20" s="25" t="n">
        <v>3.3</v>
      </c>
    </row>
    <row r="21" customFormat="false" ht="80" hidden="false" customHeight="true" outlineLevel="0" collapsed="false">
      <c r="A21" s="21" t="s">
        <v>860</v>
      </c>
      <c r="B21" s="21" t="s">
        <v>903</v>
      </c>
      <c r="C21" s="21" t="s">
        <v>904</v>
      </c>
      <c r="D21" s="21" t="s">
        <v>905</v>
      </c>
      <c r="E21" s="21" t="s">
        <v>849</v>
      </c>
      <c r="F21" s="24" t="str">
        <f aca="false">HYPERLINK("https://item.taobao.com/item.htm?id=621018369847","打开订单商品")</f>
        <v>打开订单商品</v>
      </c>
      <c r="G21" s="21" t="s">
        <v>851</v>
      </c>
      <c r="H21" s="21" t="n">
        <v>1</v>
      </c>
      <c r="I21" s="21" t="s">
        <v>906</v>
      </c>
      <c r="J21" s="21" t="n">
        <v>214</v>
      </c>
      <c r="K21" s="25" t="n">
        <v>4.69</v>
      </c>
    </row>
  </sheetData>
  <mergeCells count="4">
    <mergeCell ref="A2:K2"/>
    <mergeCell ref="A3:K3"/>
    <mergeCell ref="A4:K4"/>
    <mergeCell ref="A5:K5"/>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653"/>
    <pageSetUpPr fitToPage="false"/>
  </sheetPr>
  <dimension ref="A1:O7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6" topLeftCell="A7"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58"/>
    <col collapsed="false" customWidth="true" hidden="false" outlineLevel="0" max="2" min="2" style="0" width="20"/>
    <col collapsed="false" customWidth="true" hidden="false" outlineLevel="0" max="5" min="3" style="0" width="21"/>
    <col collapsed="false" customWidth="true" hidden="false" outlineLevel="0" max="6" min="6" style="0" width="23"/>
    <col collapsed="false" customWidth="true" hidden="false" outlineLevel="0" max="8" min="7" style="0" width="13"/>
    <col collapsed="false" customWidth="true" hidden="false" outlineLevel="0" max="10" min="9" style="0" width="20"/>
    <col collapsed="false" customWidth="true" hidden="false" outlineLevel="0" max="13" min="11" style="0" width="22"/>
    <col collapsed="false" customWidth="true" hidden="false" outlineLevel="0" max="14" min="14" style="0" width="20"/>
    <col collapsed="false" customWidth="true" hidden="false" outlineLevel="0" max="15" min="15" style="0" width="13"/>
  </cols>
  <sheetData>
    <row r="1" customFormat="false" ht="15" hidden="false" customHeight="false" outlineLevel="0" collapsed="false">
      <c r="A1" s="21"/>
      <c r="B1" s="21"/>
      <c r="C1" s="21"/>
      <c r="D1" s="21"/>
      <c r="E1" s="21"/>
      <c r="F1" s="21"/>
      <c r="G1" s="21"/>
      <c r="H1" s="21"/>
      <c r="I1" s="21"/>
      <c r="J1" s="21"/>
      <c r="K1" s="21"/>
      <c r="L1" s="21"/>
      <c r="M1" s="21"/>
      <c r="N1" s="21"/>
      <c r="O1" s="21"/>
    </row>
    <row r="2" customFormat="false" ht="27.6" hidden="false" customHeight="true" outlineLevel="0" collapsed="false">
      <c r="A2" s="22" t="s">
        <v>907</v>
      </c>
      <c r="B2" s="22"/>
      <c r="C2" s="22"/>
      <c r="D2" s="22"/>
      <c r="E2" s="21"/>
      <c r="F2" s="21"/>
      <c r="G2" s="21"/>
      <c r="H2" s="21"/>
      <c r="I2" s="21"/>
      <c r="J2" s="21"/>
      <c r="K2" s="21"/>
      <c r="L2" s="21"/>
      <c r="M2" s="21"/>
      <c r="N2" s="21"/>
      <c r="O2" s="21"/>
    </row>
    <row r="3" customFormat="false" ht="40" hidden="false" customHeight="true" outlineLevel="0" collapsed="false">
      <c r="A3" s="21" t="s">
        <v>908</v>
      </c>
      <c r="B3" s="21"/>
      <c r="C3" s="21"/>
      <c r="D3" s="21"/>
      <c r="E3" s="21"/>
      <c r="F3" s="21"/>
      <c r="G3" s="21"/>
      <c r="H3" s="21"/>
      <c r="I3" s="21"/>
      <c r="J3" s="21"/>
      <c r="K3" s="21"/>
      <c r="L3" s="21"/>
      <c r="M3" s="21"/>
      <c r="N3" s="21"/>
      <c r="O3" s="21"/>
    </row>
    <row r="4" customFormat="false" ht="15" hidden="false" customHeight="false" outlineLevel="0" collapsed="false">
      <c r="A4" s="21" t="s">
        <v>2</v>
      </c>
      <c r="B4" s="26" t="n">
        <f aca="false">合并采购清单!B4</f>
        <v>1</v>
      </c>
      <c r="C4" s="21" t="s">
        <v>3</v>
      </c>
      <c r="D4" s="26" t="n">
        <f aca="false">合并采购清单!D4</f>
        <v>1</v>
      </c>
      <c r="E4" s="21"/>
      <c r="F4" s="21"/>
      <c r="G4" s="21"/>
      <c r="H4" s="21"/>
      <c r="I4" s="21"/>
      <c r="J4" s="21"/>
      <c r="K4" s="21"/>
      <c r="L4" s="21"/>
      <c r="M4" s="21"/>
      <c r="N4" s="21"/>
      <c r="O4" s="21"/>
    </row>
    <row r="5" customFormat="false" ht="15" hidden="false" customHeight="false" outlineLevel="0" collapsed="false">
      <c r="A5" s="21" t="s">
        <v>909</v>
      </c>
      <c r="B5" s="27" t="n">
        <v>20</v>
      </c>
      <c r="C5" s="21" t="s">
        <v>910</v>
      </c>
      <c r="D5" s="27" t="n">
        <v>5</v>
      </c>
      <c r="E5" s="21" t="s">
        <v>911</v>
      </c>
      <c r="F5" s="27" t="n">
        <v>12</v>
      </c>
      <c r="G5" s="21"/>
      <c r="H5" s="21"/>
      <c r="I5" s="21"/>
      <c r="J5" s="21"/>
      <c r="K5" s="21"/>
      <c r="L5" s="21"/>
      <c r="M5" s="21"/>
      <c r="N5" s="21"/>
      <c r="O5" s="21"/>
    </row>
    <row r="6" customFormat="false" ht="15" hidden="false" customHeight="false" outlineLevel="0" collapsed="false">
      <c r="A6" s="21"/>
      <c r="B6" s="21"/>
      <c r="C6" s="21"/>
      <c r="D6" s="21"/>
      <c r="E6" s="21"/>
      <c r="F6" s="21"/>
      <c r="G6" s="21"/>
      <c r="H6" s="21"/>
      <c r="I6" s="21"/>
      <c r="J6" s="21"/>
      <c r="K6" s="21"/>
      <c r="L6" s="21"/>
      <c r="M6" s="21"/>
      <c r="N6" s="21"/>
      <c r="O6" s="21"/>
    </row>
    <row r="7" customFormat="false" ht="30" hidden="false" customHeight="true" outlineLevel="0" collapsed="false">
      <c r="A7" s="23" t="s">
        <v>912</v>
      </c>
      <c r="B7" s="28" t="s">
        <v>913</v>
      </c>
      <c r="C7" s="28" t="s">
        <v>914</v>
      </c>
      <c r="D7" s="28" t="s">
        <v>915</v>
      </c>
      <c r="E7" s="21"/>
      <c r="F7" s="21"/>
      <c r="G7" s="21"/>
      <c r="H7" s="21"/>
      <c r="I7" s="21"/>
      <c r="J7" s="21"/>
      <c r="K7" s="21"/>
      <c r="L7" s="21"/>
      <c r="M7" s="21"/>
      <c r="N7" s="21"/>
      <c r="O7" s="21"/>
    </row>
    <row r="8" customFormat="false" ht="30" hidden="false" customHeight="true" outlineLevel="0" collapsed="false">
      <c r="A8" s="21" t="s">
        <v>916</v>
      </c>
      <c r="B8" s="25" t="n">
        <f aca="false">SUM(I29:I72)</f>
        <v>16.7249050849176</v>
      </c>
      <c r="C8" s="25" t="n">
        <f aca="false">SUM(J29:J72)</f>
        <v>12.3336316784379</v>
      </c>
      <c r="D8" s="25" t="n">
        <f aca="false">SUM(B8:C8)</f>
        <v>29.0585367633555</v>
      </c>
      <c r="E8" s="21"/>
      <c r="F8" s="21"/>
      <c r="G8" s="21"/>
      <c r="H8" s="21"/>
      <c r="I8" s="21"/>
      <c r="J8" s="21"/>
      <c r="K8" s="21"/>
      <c r="L8" s="21"/>
      <c r="M8" s="21"/>
      <c r="N8" s="21"/>
      <c r="O8" s="21"/>
    </row>
    <row r="9" customFormat="false" ht="30" hidden="false" customHeight="true" outlineLevel="0" collapsed="false">
      <c r="A9" s="21" t="s">
        <v>917</v>
      </c>
      <c r="B9" s="25" t="n">
        <v>0</v>
      </c>
      <c r="C9" s="25" t="n">
        <v>0</v>
      </c>
      <c r="D9" s="25" t="n">
        <f aca="false">SUM(B9:C9)</f>
        <v>0</v>
      </c>
      <c r="E9" s="21"/>
      <c r="F9" s="21"/>
      <c r="G9" s="21"/>
      <c r="H9" s="21"/>
      <c r="I9" s="21"/>
      <c r="J9" s="21"/>
      <c r="K9" s="21"/>
      <c r="L9" s="21"/>
      <c r="M9" s="21"/>
      <c r="N9" s="21"/>
      <c r="O9" s="21"/>
    </row>
    <row r="10" customFormat="false" ht="30" hidden="false" customHeight="true" outlineLevel="0" collapsed="false">
      <c r="A10" s="29" t="s">
        <v>918</v>
      </c>
      <c r="B10" s="30" t="n">
        <f aca="false">B8+B9</f>
        <v>16.7249050849176</v>
      </c>
      <c r="C10" s="30" t="n">
        <f aca="false">C8+C9</f>
        <v>12.3336316784379</v>
      </c>
      <c r="D10" s="30" t="n">
        <f aca="false">D8+D9</f>
        <v>29.0585367633555</v>
      </c>
      <c r="E10" s="21"/>
      <c r="F10" s="21"/>
      <c r="G10" s="21"/>
      <c r="H10" s="21"/>
      <c r="I10" s="21"/>
      <c r="J10" s="21"/>
      <c r="K10" s="21"/>
      <c r="L10" s="21"/>
      <c r="M10" s="21"/>
      <c r="N10" s="21"/>
      <c r="O10" s="21"/>
    </row>
    <row r="11" customFormat="false" ht="30" hidden="false" customHeight="true" outlineLevel="0" collapsed="false">
      <c r="A11" s="21" t="s">
        <v>919</v>
      </c>
      <c r="B11" s="25" t="n">
        <f aca="false">$B$5/$D$5*$B$4</f>
        <v>4</v>
      </c>
      <c r="C11" s="25" t="n">
        <f aca="false">$B$5/$D$5*$D$4</f>
        <v>4</v>
      </c>
      <c r="D11" s="25" t="n">
        <f aca="false">SUM(B11:C11)</f>
        <v>8</v>
      </c>
      <c r="E11" s="21"/>
      <c r="F11" s="21"/>
      <c r="G11" s="21"/>
      <c r="H11" s="21"/>
      <c r="I11" s="21"/>
      <c r="J11" s="21"/>
      <c r="K11" s="21"/>
      <c r="L11" s="21"/>
      <c r="M11" s="21"/>
      <c r="N11" s="21"/>
      <c r="O11" s="21"/>
    </row>
    <row r="12" customFormat="false" ht="30" hidden="false" customHeight="true" outlineLevel="0" collapsed="false">
      <c r="A12" s="29" t="s">
        <v>920</v>
      </c>
      <c r="B12" s="30" t="n">
        <f aca="false">B8+B11</f>
        <v>20.7249050849176</v>
      </c>
      <c r="C12" s="30" t="n">
        <f aca="false">C8+C11</f>
        <v>16.3336316784379</v>
      </c>
      <c r="D12" s="30" t="n">
        <f aca="false">D8+D11</f>
        <v>37.0585367633555</v>
      </c>
      <c r="E12" s="21"/>
      <c r="F12" s="21"/>
      <c r="G12" s="21"/>
      <c r="H12" s="21"/>
      <c r="I12" s="21"/>
      <c r="J12" s="21"/>
      <c r="K12" s="21"/>
      <c r="L12" s="21"/>
      <c r="M12" s="21"/>
      <c r="N12" s="21"/>
      <c r="O12" s="21"/>
    </row>
    <row r="13" customFormat="false" ht="30" hidden="false" customHeight="true" outlineLevel="0" collapsed="false">
      <c r="A13" s="21"/>
      <c r="B13" s="25"/>
      <c r="C13" s="25"/>
      <c r="D13" s="25"/>
      <c r="E13" s="21"/>
      <c r="F13" s="21"/>
      <c r="G13" s="21"/>
      <c r="H13" s="21"/>
      <c r="I13" s="21"/>
      <c r="J13" s="21"/>
      <c r="K13" s="21"/>
      <c r="L13" s="21"/>
      <c r="M13" s="21"/>
      <c r="N13" s="21"/>
      <c r="O13" s="21"/>
    </row>
    <row r="14" customFormat="false" ht="30" hidden="false" customHeight="true" outlineLevel="0" collapsed="false">
      <c r="A14" s="21" t="s">
        <v>921</v>
      </c>
      <c r="B14" s="25"/>
      <c r="C14" s="25"/>
      <c r="D14" s="25"/>
      <c r="E14" s="21"/>
      <c r="F14" s="21"/>
      <c r="G14" s="21"/>
      <c r="H14" s="21"/>
      <c r="I14" s="21"/>
      <c r="J14" s="21"/>
      <c r="K14" s="21"/>
      <c r="L14" s="21"/>
      <c r="M14" s="21"/>
      <c r="N14" s="21"/>
      <c r="O14" s="21"/>
    </row>
    <row r="15" customFormat="false" ht="30" hidden="false" customHeight="true" outlineLevel="0" collapsed="false">
      <c r="A15" s="23" t="s">
        <v>922</v>
      </c>
      <c r="B15" s="28" t="s">
        <v>923</v>
      </c>
      <c r="C15" s="28" t="s">
        <v>924</v>
      </c>
      <c r="D15" s="28" t="s">
        <v>925</v>
      </c>
      <c r="E15" s="21"/>
      <c r="F15" s="21"/>
      <c r="G15" s="21"/>
      <c r="H15" s="21"/>
      <c r="I15" s="21"/>
      <c r="J15" s="21"/>
      <c r="K15" s="21"/>
      <c r="L15" s="21"/>
      <c r="M15" s="21"/>
      <c r="N15" s="21"/>
      <c r="O15" s="21"/>
    </row>
    <row r="16" customFormat="false" ht="30" hidden="false" customHeight="true" outlineLevel="0" collapsed="false">
      <c r="A16" s="21" t="s">
        <v>926</v>
      </c>
      <c r="B16" s="25" t="n">
        <f aca="false">SUM(L29:L72)</f>
        <v>66.88</v>
      </c>
      <c r="C16" s="25" t="n">
        <f aca="false">SUM(M29:M72)</f>
        <v>27.15</v>
      </c>
      <c r="D16" s="25" t="n">
        <f aca="false">SUM(K29:K72)</f>
        <v>86.17</v>
      </c>
      <c r="E16" s="21"/>
      <c r="F16" s="21"/>
      <c r="G16" s="21"/>
      <c r="H16" s="21"/>
      <c r="I16" s="21"/>
      <c r="J16" s="21"/>
      <c r="K16" s="21"/>
      <c r="L16" s="21"/>
      <c r="M16" s="21"/>
      <c r="N16" s="21"/>
      <c r="O16" s="21"/>
    </row>
    <row r="17" customFormat="false" ht="30" hidden="false" customHeight="true" outlineLevel="0" collapsed="false">
      <c r="A17" s="29" t="s">
        <v>927</v>
      </c>
      <c r="B17" s="30" t="n">
        <f aca="false">B16</f>
        <v>66.88</v>
      </c>
      <c r="C17" s="30" t="n">
        <f aca="false">C16</f>
        <v>27.15</v>
      </c>
      <c r="D17" s="30" t="n">
        <f aca="false">D16</f>
        <v>86.17</v>
      </c>
      <c r="E17" s="21"/>
      <c r="F17" s="21"/>
      <c r="G17" s="21"/>
      <c r="H17" s="21"/>
      <c r="I17" s="21"/>
      <c r="J17" s="21"/>
      <c r="K17" s="21"/>
      <c r="L17" s="21"/>
      <c r="M17" s="21"/>
      <c r="N17" s="21"/>
      <c r="O17" s="21"/>
    </row>
    <row r="18" customFormat="false" ht="30" hidden="false" customHeight="true" outlineLevel="0" collapsed="false">
      <c r="A18" s="21" t="s">
        <v>928</v>
      </c>
      <c r="B18" s="25" t="n">
        <f aca="false">ROUNDUP($B$4/$D$5,0)*$B$5</f>
        <v>20</v>
      </c>
      <c r="C18" s="25" t="n">
        <f aca="false">ROUNDUP($D$4/$D$5,0)*$B$5</f>
        <v>20</v>
      </c>
      <c r="D18" s="25" t="n">
        <f aca="false">SUM(B18:C18)</f>
        <v>40</v>
      </c>
      <c r="E18" s="21"/>
      <c r="F18" s="21"/>
      <c r="G18" s="21"/>
      <c r="H18" s="21"/>
      <c r="I18" s="21"/>
      <c r="J18" s="21"/>
      <c r="K18" s="21"/>
      <c r="L18" s="21"/>
      <c r="M18" s="21"/>
      <c r="N18" s="21"/>
      <c r="O18" s="21"/>
    </row>
    <row r="19" customFormat="false" ht="30" hidden="false" customHeight="true" outlineLevel="0" collapsed="false">
      <c r="A19" s="29" t="s">
        <v>929</v>
      </c>
      <c r="B19" s="30" t="n">
        <f aca="false">B16+B18</f>
        <v>86.88</v>
      </c>
      <c r="C19" s="30" t="n">
        <f aca="false">C16+C18</f>
        <v>47.15</v>
      </c>
      <c r="D19" s="30" t="n">
        <f aca="false">D16+D18</f>
        <v>126.17</v>
      </c>
      <c r="E19" s="21"/>
      <c r="F19" s="21"/>
      <c r="G19" s="21"/>
      <c r="H19" s="21"/>
      <c r="I19" s="21"/>
      <c r="J19" s="21"/>
      <c r="K19" s="21"/>
      <c r="L19" s="21"/>
      <c r="M19" s="21"/>
      <c r="N19" s="21"/>
      <c r="O19" s="21"/>
    </row>
    <row r="20" customFormat="false" ht="30" hidden="false" customHeight="true" outlineLevel="0" collapsed="false">
      <c r="A20" s="21"/>
      <c r="B20" s="25"/>
      <c r="C20" s="25"/>
      <c r="D20" s="25"/>
      <c r="E20" s="21"/>
      <c r="F20" s="21"/>
      <c r="G20" s="21"/>
      <c r="H20" s="21"/>
      <c r="I20" s="21"/>
      <c r="J20" s="21"/>
      <c r="K20" s="21"/>
      <c r="L20" s="21"/>
      <c r="M20" s="21"/>
      <c r="N20" s="21"/>
      <c r="O20" s="21"/>
    </row>
    <row r="21" customFormat="false" ht="40" hidden="false" customHeight="true" outlineLevel="0" collapsed="false">
      <c r="A21" s="21" t="s">
        <v>930</v>
      </c>
      <c r="B21" s="21"/>
      <c r="C21" s="21"/>
      <c r="D21" s="21"/>
      <c r="E21" s="21"/>
      <c r="F21" s="21"/>
      <c r="G21" s="21"/>
      <c r="H21" s="21"/>
      <c r="I21" s="21"/>
      <c r="J21" s="21"/>
      <c r="K21" s="21"/>
      <c r="L21" s="21"/>
      <c r="M21" s="21"/>
      <c r="N21" s="21"/>
      <c r="O21" s="21"/>
    </row>
    <row r="22" customFormat="false" ht="30" hidden="false" customHeight="true" outlineLevel="0" collapsed="false">
      <c r="A22" s="21" t="s">
        <v>931</v>
      </c>
      <c r="B22" s="25" t="n">
        <f aca="false">配件与耗材!K18</f>
        <v>84.59</v>
      </c>
      <c r="C22" s="25"/>
      <c r="D22" s="25"/>
      <c r="E22" s="21"/>
      <c r="F22" s="21"/>
      <c r="G22" s="21"/>
      <c r="H22" s="21"/>
      <c r="I22" s="21"/>
      <c r="J22" s="21"/>
      <c r="K22" s="21"/>
      <c r="L22" s="21"/>
      <c r="M22" s="21"/>
      <c r="N22" s="21"/>
      <c r="O22" s="21"/>
    </row>
    <row r="23" customFormat="false" ht="30" hidden="false" customHeight="true" outlineLevel="0" collapsed="false">
      <c r="A23" s="29" t="s">
        <v>932</v>
      </c>
      <c r="B23" s="30" t="n">
        <f aca="false">D10+B22</f>
        <v>113.648536763356</v>
      </c>
      <c r="C23" s="30"/>
      <c r="D23" s="30"/>
      <c r="E23" s="21"/>
      <c r="F23" s="21"/>
      <c r="G23" s="21"/>
      <c r="H23" s="21"/>
      <c r="I23" s="21"/>
      <c r="J23" s="21"/>
      <c r="K23" s="21"/>
      <c r="L23" s="21"/>
      <c r="M23" s="21"/>
      <c r="N23" s="21"/>
      <c r="O23" s="21"/>
    </row>
    <row r="24" customFormat="false" ht="30" hidden="false" customHeight="true" outlineLevel="0" collapsed="false">
      <c r="A24" s="29" t="s">
        <v>933</v>
      </c>
      <c r="B24" s="30" t="n">
        <f aca="false">D12+B22</f>
        <v>121.648536763356</v>
      </c>
      <c r="C24" s="30"/>
      <c r="D24" s="30"/>
      <c r="E24" s="21"/>
      <c r="F24" s="21"/>
      <c r="G24" s="21"/>
      <c r="H24" s="21"/>
      <c r="I24" s="21"/>
      <c r="J24" s="21"/>
      <c r="K24" s="21"/>
      <c r="L24" s="21"/>
      <c r="M24" s="21"/>
      <c r="N24" s="21"/>
      <c r="O24" s="21"/>
    </row>
    <row r="25" customFormat="false" ht="15" hidden="false" customHeight="false" outlineLevel="0" collapsed="false">
      <c r="A25" s="21"/>
      <c r="B25" s="21"/>
      <c r="C25" s="21"/>
      <c r="D25" s="21"/>
      <c r="E25" s="21"/>
      <c r="F25" s="21"/>
      <c r="G25" s="21"/>
      <c r="H25" s="21"/>
      <c r="I25" s="21"/>
      <c r="J25" s="21"/>
      <c r="K25" s="21"/>
      <c r="L25" s="21"/>
      <c r="M25" s="21"/>
      <c r="N25" s="21"/>
      <c r="O25" s="21"/>
    </row>
    <row r="26" customFormat="false" ht="15" hidden="false" customHeight="true" outlineLevel="0" collapsed="false">
      <c r="A26" s="21" t="s">
        <v>934</v>
      </c>
      <c r="B26" s="21"/>
      <c r="C26" s="21"/>
      <c r="D26" s="21"/>
      <c r="E26" s="21"/>
      <c r="F26" s="21"/>
      <c r="G26" s="21"/>
      <c r="H26" s="21"/>
      <c r="I26" s="21"/>
      <c r="J26" s="21"/>
      <c r="K26" s="21"/>
      <c r="L26" s="21"/>
      <c r="M26" s="21"/>
      <c r="N26" s="21"/>
      <c r="O26" s="21"/>
    </row>
    <row r="27" customFormat="false" ht="15" hidden="false" customHeight="false" outlineLevel="0" collapsed="false">
      <c r="A27" s="21"/>
      <c r="B27" s="21"/>
      <c r="C27" s="21"/>
      <c r="D27" s="21"/>
      <c r="E27" s="21"/>
      <c r="F27" s="21"/>
      <c r="G27" s="21"/>
      <c r="H27" s="21"/>
      <c r="I27" s="21"/>
      <c r="J27" s="21"/>
      <c r="K27" s="21"/>
      <c r="L27" s="21"/>
      <c r="M27" s="21"/>
      <c r="N27" s="21"/>
      <c r="O27" s="21"/>
    </row>
    <row r="28" customFormat="false" ht="45" hidden="false" customHeight="true" outlineLevel="0" collapsed="false">
      <c r="A28" s="23" t="s">
        <v>935</v>
      </c>
      <c r="B28" s="23" t="s">
        <v>554</v>
      </c>
      <c r="C28" s="23" t="s">
        <v>936</v>
      </c>
      <c r="D28" s="23" t="s">
        <v>937</v>
      </c>
      <c r="E28" s="23" t="s">
        <v>938</v>
      </c>
      <c r="F28" s="23" t="s">
        <v>939</v>
      </c>
      <c r="G28" s="23" t="s">
        <v>940</v>
      </c>
      <c r="H28" s="23" t="s">
        <v>941</v>
      </c>
      <c r="I28" s="23" t="s">
        <v>942</v>
      </c>
      <c r="J28" s="23" t="s">
        <v>943</v>
      </c>
      <c r="K28" s="23" t="s">
        <v>944</v>
      </c>
      <c r="L28" s="23" t="s">
        <v>945</v>
      </c>
      <c r="M28" s="23" t="s">
        <v>946</v>
      </c>
      <c r="N28" s="23" t="s">
        <v>552</v>
      </c>
      <c r="O28" s="23" t="s">
        <v>555</v>
      </c>
    </row>
    <row r="29" customFormat="false" ht="66" hidden="false" customHeight="true" outlineLevel="0" collapsed="false">
      <c r="A29" s="21" t="s">
        <v>947</v>
      </c>
      <c r="B29" s="21" t="n">
        <v>1</v>
      </c>
      <c r="C29" s="31" t="n">
        <v>0.03</v>
      </c>
      <c r="D29" s="31" t="n">
        <v>4.98</v>
      </c>
      <c r="E29" s="31" t="n">
        <v>5.95</v>
      </c>
      <c r="F29" s="32" t="n">
        <f aca="false">C29/D29*E29/B29</f>
        <v>0.0358433734939759</v>
      </c>
      <c r="G29" s="26" t="n">
        <f aca="false">SUM(合并采购清单!D9,合并采购清单!D44)</f>
        <v>15</v>
      </c>
      <c r="H29" s="26" t="n">
        <f aca="false">SUM(合并采购清单!E9,合并采购清单!E44)</f>
        <v>2</v>
      </c>
      <c r="I29" s="25" t="n">
        <f aca="false">F29*G29*$B$4</f>
        <v>0.537650602409639</v>
      </c>
      <c r="J29" s="25" t="n">
        <f aca="false">F29*H29*$D$4</f>
        <v>0.0716867469879518</v>
      </c>
      <c r="K29" s="25" t="n">
        <f aca="false">ROUNDUP((G29*$B$4+H29*$D$4)/B29,0)*C29</f>
        <v>0.51</v>
      </c>
      <c r="L29" s="25" t="n">
        <f aca="false">ROUNDUP(G29*$B$4/B29,0)*C29</f>
        <v>0.45</v>
      </c>
      <c r="M29" s="25" t="n">
        <f aca="false">ROUNDUP(H29*$D$4/B29,0)*C29</f>
        <v>0.06</v>
      </c>
      <c r="N29" s="21" t="str">
        <f aca="false">HYPERLINK("https://item.taobao.com/item.htm?id=630712731066","打开订单商品")</f>
        <v>打开订单商品</v>
      </c>
      <c r="O29" s="21" t="n">
        <v>78</v>
      </c>
    </row>
    <row r="30" customFormat="false" ht="66" hidden="false" customHeight="true" outlineLevel="0" collapsed="false">
      <c r="A30" s="21" t="s">
        <v>948</v>
      </c>
      <c r="B30" s="21" t="n">
        <v>1</v>
      </c>
      <c r="C30" s="31" t="n">
        <v>0.06</v>
      </c>
      <c r="D30" s="31" t="n">
        <v>9.47</v>
      </c>
      <c r="E30" s="31" t="n">
        <v>10.42</v>
      </c>
      <c r="F30" s="32" t="n">
        <f aca="false">C30/D30*E30/B30</f>
        <v>0.0660190073917635</v>
      </c>
      <c r="G30" s="26" t="n">
        <f aca="false">SUM(合并采购清单!D10)</f>
        <v>5</v>
      </c>
      <c r="H30" s="26" t="n">
        <f aca="false">SUM(合并采购清单!E10)</f>
        <v>0</v>
      </c>
      <c r="I30" s="25" t="n">
        <f aca="false">F30*G30*$B$4</f>
        <v>0.330095036958817</v>
      </c>
      <c r="J30" s="25" t="n">
        <f aca="false">F30*H30*$D$4</f>
        <v>0</v>
      </c>
      <c r="K30" s="25" t="n">
        <f aca="false">ROUNDUP((G30*$B$4+H30*$D$4)/B30,0)*C30</f>
        <v>0.3</v>
      </c>
      <c r="L30" s="25" t="n">
        <f aca="false">ROUNDUP(G30*$B$4/B30,0)*C30</f>
        <v>0.3</v>
      </c>
      <c r="M30" s="25" t="n">
        <f aca="false">ROUNDUP(H30*$D$4/B30,0)*C30</f>
        <v>0</v>
      </c>
      <c r="N30" s="21" t="str">
        <f aca="false">HYPERLINK("https://item.taobao.com/item.htm?id=630712731066","打开订单商品")</f>
        <v>打开订单商品</v>
      </c>
      <c r="O30" s="21" t="n">
        <v>50</v>
      </c>
    </row>
    <row r="31" customFormat="false" ht="66" hidden="false" customHeight="true" outlineLevel="0" collapsed="false">
      <c r="A31" s="21" t="s">
        <v>949</v>
      </c>
      <c r="B31" s="21" t="n">
        <v>100</v>
      </c>
      <c r="C31" s="31" t="n">
        <v>1.49</v>
      </c>
      <c r="D31" s="31" t="n">
        <v>1.49</v>
      </c>
      <c r="E31" s="31" t="n">
        <v>1.49</v>
      </c>
      <c r="F31" s="32" t="n">
        <f aca="false">C31/D31*E31/B31</f>
        <v>0.0149</v>
      </c>
      <c r="G31" s="26" t="n">
        <f aca="false">SUM(合并采购清单!D11)</f>
        <v>2</v>
      </c>
      <c r="H31" s="26" t="n">
        <f aca="false">SUM(合并采购清单!E11)</f>
        <v>0</v>
      </c>
      <c r="I31" s="25" t="n">
        <f aca="false">F31*G31*$B$4</f>
        <v>0.0298</v>
      </c>
      <c r="J31" s="25" t="n">
        <f aca="false">F31*H31*$D$4</f>
        <v>0</v>
      </c>
      <c r="K31" s="25" t="n">
        <f aca="false">ROUNDUP((G31*$B$4+H31*$D$4)/B31,0)*C31</f>
        <v>1.49</v>
      </c>
      <c r="L31" s="25" t="n">
        <f aca="false">ROUNDUP(G31*$B$4/B31,0)*C31</f>
        <v>1.49</v>
      </c>
      <c r="M31" s="25" t="n">
        <f aca="false">ROUNDUP(H31*$D$4/B31,0)*C31</f>
        <v>0</v>
      </c>
      <c r="N31" s="21" t="str">
        <f aca="false">HYPERLINK("https://item.taobao.com/item.htm?id=1005108810412","打开订单商品")</f>
        <v>打开订单商品</v>
      </c>
      <c r="O31" s="21" t="n">
        <v>142</v>
      </c>
    </row>
    <row r="32" customFormat="false" ht="66" hidden="false" customHeight="true" outlineLevel="0" collapsed="false">
      <c r="A32" s="21" t="s">
        <v>950</v>
      </c>
      <c r="B32" s="21" t="n">
        <v>100</v>
      </c>
      <c r="C32" s="31" t="n">
        <v>1.98</v>
      </c>
      <c r="D32" s="31" t="n">
        <v>4.98</v>
      </c>
      <c r="E32" s="31" t="n">
        <v>5.95</v>
      </c>
      <c r="F32" s="32" t="n">
        <f aca="false">C32/D32*E32/B32</f>
        <v>0.0236566265060241</v>
      </c>
      <c r="G32" s="26" t="n">
        <f aca="false">SUM(合并采购清单!D12,合并采购清单!D43)</f>
        <v>13</v>
      </c>
      <c r="H32" s="26" t="n">
        <f aca="false">SUM(合并采购清单!E12,合并采购清单!E43)</f>
        <v>6</v>
      </c>
      <c r="I32" s="25" t="n">
        <f aca="false">F32*G32*$B$4</f>
        <v>0.307536144578313</v>
      </c>
      <c r="J32" s="25" t="n">
        <f aca="false">F32*H32*$D$4</f>
        <v>0.141939759036145</v>
      </c>
      <c r="K32" s="25" t="n">
        <f aca="false">ROUNDUP((G32*$B$4+H32*$D$4)/B32,0)*C32</f>
        <v>1.98</v>
      </c>
      <c r="L32" s="25" t="n">
        <f aca="false">ROUNDUP(G32*$B$4/B32,0)*C32</f>
        <v>1.98</v>
      </c>
      <c r="M32" s="25" t="n">
        <f aca="false">ROUNDUP(H32*$D$4/B32,0)*C32</f>
        <v>1.98</v>
      </c>
      <c r="N32" s="21" t="str">
        <f aca="false">HYPERLINK("https://item.taobao.com/item.htm?id=731471380840","打开订单商品")</f>
        <v>打开订单商品</v>
      </c>
      <c r="O32" s="21" t="n">
        <v>79</v>
      </c>
    </row>
    <row r="33" customFormat="false" ht="66" hidden="false" customHeight="true" outlineLevel="0" collapsed="false">
      <c r="A33" s="21" t="s">
        <v>951</v>
      </c>
      <c r="B33" s="21" t="n">
        <v>1</v>
      </c>
      <c r="C33" s="31" t="n">
        <v>0.12</v>
      </c>
      <c r="D33" s="31" t="n">
        <v>6.18</v>
      </c>
      <c r="E33" s="31" t="n">
        <v>6.14</v>
      </c>
      <c r="F33" s="32" t="n">
        <f aca="false">C33/D33*E33/B33</f>
        <v>0.119223300970874</v>
      </c>
      <c r="G33" s="26" t="n">
        <f aca="false">SUM(合并采购清单!D13)</f>
        <v>1</v>
      </c>
      <c r="H33" s="26" t="n">
        <f aca="false">SUM(合并采购清单!E13)</f>
        <v>0</v>
      </c>
      <c r="I33" s="25" t="n">
        <f aca="false">F33*G33*$B$4</f>
        <v>0.119223300970874</v>
      </c>
      <c r="J33" s="25" t="n">
        <f aca="false">F33*H33*$D$4</f>
        <v>0</v>
      </c>
      <c r="K33" s="25" t="n">
        <f aca="false">ROUNDUP((G33*$B$4+H33*$D$4)/B33,0)*C33</f>
        <v>0.12</v>
      </c>
      <c r="L33" s="25" t="n">
        <f aca="false">ROUNDUP(G33*$B$4/B33,0)*C33</f>
        <v>0.12</v>
      </c>
      <c r="M33" s="25" t="n">
        <f aca="false">ROUNDUP(H33*$D$4/B33,0)*C33</f>
        <v>0</v>
      </c>
      <c r="N33" s="21" t="str">
        <f aca="false">HYPERLINK("https://item.taobao.com/item.htm?id=730407108775","打开订单商品")</f>
        <v>打开订单商品</v>
      </c>
      <c r="O33" s="21" t="n">
        <v>206</v>
      </c>
    </row>
    <row r="34" customFormat="false" ht="66" hidden="false" customHeight="true" outlineLevel="0" collapsed="false">
      <c r="A34" s="21" t="s">
        <v>952</v>
      </c>
      <c r="B34" s="21" t="n">
        <v>100</v>
      </c>
      <c r="C34" s="31" t="n">
        <v>3.5</v>
      </c>
      <c r="D34" s="31" t="n">
        <v>3.5</v>
      </c>
      <c r="E34" s="31" t="n">
        <v>3.5</v>
      </c>
      <c r="F34" s="32" t="n">
        <f aca="false">C34/D34*E34/B34</f>
        <v>0.035</v>
      </c>
      <c r="G34" s="26" t="n">
        <f aca="false">SUM(合并采购清单!D14)</f>
        <v>2</v>
      </c>
      <c r="H34" s="26" t="n">
        <f aca="false">SUM(合并采购清单!E14)</f>
        <v>0</v>
      </c>
      <c r="I34" s="25" t="n">
        <f aca="false">F34*G34*$B$4</f>
        <v>0.07</v>
      </c>
      <c r="J34" s="25" t="n">
        <f aca="false">F34*H34*$D$4</f>
        <v>0</v>
      </c>
      <c r="K34" s="25" t="n">
        <f aca="false">ROUNDUP((G34*$B$4+H34*$D$4)/B34,0)*C34</f>
        <v>3.5</v>
      </c>
      <c r="L34" s="25" t="n">
        <f aca="false">ROUNDUP(G34*$B$4/B34,0)*C34</f>
        <v>3.5</v>
      </c>
      <c r="M34" s="25" t="n">
        <f aca="false">ROUNDUP(H34*$D$4/B34,0)*C34</f>
        <v>0</v>
      </c>
      <c r="N34" s="21" t="str">
        <f aca="false">HYPERLINK("https://item.taobao.com/item.htm?id=993202872551","打开订单商品")</f>
        <v>打开订单商品</v>
      </c>
      <c r="O34" s="21" t="n">
        <v>96</v>
      </c>
    </row>
    <row r="35" customFormat="false" ht="66" hidden="false" customHeight="true" outlineLevel="0" collapsed="false">
      <c r="A35" s="21" t="s">
        <v>953</v>
      </c>
      <c r="B35" s="21" t="n">
        <v>100</v>
      </c>
      <c r="C35" s="31" t="n">
        <v>2</v>
      </c>
      <c r="D35" s="31" t="n">
        <v>2</v>
      </c>
      <c r="E35" s="31" t="n">
        <v>2</v>
      </c>
      <c r="F35" s="32" t="n">
        <f aca="false">C35/D35*E35/B35</f>
        <v>0.02</v>
      </c>
      <c r="G35" s="26" t="n">
        <f aca="false">SUM(合并采购清单!D15)</f>
        <v>1</v>
      </c>
      <c r="H35" s="26" t="n">
        <f aca="false">SUM(合并采购清单!E15)</f>
        <v>0</v>
      </c>
      <c r="I35" s="25" t="n">
        <f aca="false">F35*G35*$B$4</f>
        <v>0.02</v>
      </c>
      <c r="J35" s="25" t="n">
        <f aca="false">F35*H35*$D$4</f>
        <v>0</v>
      </c>
      <c r="K35" s="25" t="n">
        <f aca="false">ROUNDUP((G35*$B$4+H35*$D$4)/B35,0)*C35</f>
        <v>2</v>
      </c>
      <c r="L35" s="25" t="n">
        <f aca="false">ROUNDUP(G35*$B$4/B35,0)*C35</f>
        <v>2</v>
      </c>
      <c r="M35" s="25" t="n">
        <f aca="false">ROUNDUP(H35*$D$4/B35,0)*C35</f>
        <v>0</v>
      </c>
      <c r="N35" s="21" t="str">
        <f aca="false">HYPERLINK("https://item.taobao.com/item.htm?id=610558214623","打开订单商品")</f>
        <v>打开订单商品</v>
      </c>
      <c r="O35" s="21" t="n">
        <v>124</v>
      </c>
    </row>
    <row r="36" customFormat="false" ht="66" hidden="false" customHeight="true" outlineLevel="0" collapsed="false">
      <c r="A36" s="21" t="s">
        <v>954</v>
      </c>
      <c r="B36" s="21" t="n">
        <v>20</v>
      </c>
      <c r="C36" s="31" t="n">
        <v>4.5</v>
      </c>
      <c r="D36" s="31" t="n">
        <v>4.5</v>
      </c>
      <c r="E36" s="31" t="n">
        <v>4.5</v>
      </c>
      <c r="F36" s="32" t="n">
        <f aca="false">C36/D36*E36/B36</f>
        <v>0.225</v>
      </c>
      <c r="G36" s="26" t="n">
        <f aca="false">SUM(合并采购清单!D16)</f>
        <v>1</v>
      </c>
      <c r="H36" s="26" t="n">
        <f aca="false">SUM(合并采购清单!E16)</f>
        <v>0</v>
      </c>
      <c r="I36" s="25" t="n">
        <f aca="false">F36*G36*$B$4</f>
        <v>0.225</v>
      </c>
      <c r="J36" s="25" t="n">
        <f aca="false">F36*H36*$D$4</f>
        <v>0</v>
      </c>
      <c r="K36" s="25" t="n">
        <f aca="false">ROUNDUP((G36*$B$4+H36*$D$4)/B36,0)*C36</f>
        <v>4.5</v>
      </c>
      <c r="L36" s="25" t="n">
        <f aca="false">ROUNDUP(G36*$B$4/B36,0)*C36</f>
        <v>4.5</v>
      </c>
      <c r="M36" s="25" t="n">
        <f aca="false">ROUNDUP(H36*$D$4/B36,0)*C36</f>
        <v>0</v>
      </c>
      <c r="N36" s="21" t="str">
        <f aca="false">HYPERLINK("https://item.taobao.com/item.htm?id=793455311175","打开订单商品")</f>
        <v>打开订单商品</v>
      </c>
      <c r="O36" s="21" t="n">
        <v>94</v>
      </c>
    </row>
    <row r="37" customFormat="false" ht="66" hidden="false" customHeight="true" outlineLevel="0" collapsed="false">
      <c r="A37" s="21" t="s">
        <v>955</v>
      </c>
      <c r="B37" s="21" t="n">
        <v>50</v>
      </c>
      <c r="C37" s="31" t="n">
        <v>1.53</v>
      </c>
      <c r="D37" s="31" t="n">
        <v>3.3</v>
      </c>
      <c r="E37" s="31" t="n">
        <v>3.3</v>
      </c>
      <c r="F37" s="32" t="n">
        <f aca="false">C37/D37*E37/B37</f>
        <v>0.0306</v>
      </c>
      <c r="G37" s="26" t="n">
        <f aca="false">SUM(合并采购清单!D17)</f>
        <v>1</v>
      </c>
      <c r="H37" s="26" t="n">
        <f aca="false">SUM(合并采购清单!E17)</f>
        <v>0</v>
      </c>
      <c r="I37" s="25" t="n">
        <f aca="false">F37*G37*$B$4</f>
        <v>0.0306</v>
      </c>
      <c r="J37" s="25" t="n">
        <f aca="false">F37*H37*$D$4</f>
        <v>0</v>
      </c>
      <c r="K37" s="25" t="n">
        <f aca="false">ROUNDUP((G37*$B$4+H37*$D$4)/B37,0)*C37</f>
        <v>1.53</v>
      </c>
      <c r="L37" s="25" t="n">
        <f aca="false">ROUNDUP(G37*$B$4/B37,0)*C37</f>
        <v>1.53</v>
      </c>
      <c r="M37" s="25" t="n">
        <f aca="false">ROUNDUP(H37*$D$4/B37,0)*C37</f>
        <v>0</v>
      </c>
      <c r="N37" s="21" t="str">
        <f aca="false">HYPERLINK("https://item.taobao.com/item.htm?id=943185002457","打开订单商品")</f>
        <v>打开订单商品</v>
      </c>
      <c r="O37" s="21" t="n">
        <v>122</v>
      </c>
    </row>
    <row r="38" customFormat="false" ht="66" hidden="false" customHeight="true" outlineLevel="0" collapsed="false">
      <c r="A38" s="21" t="s">
        <v>956</v>
      </c>
      <c r="B38" s="21" t="n">
        <v>100</v>
      </c>
      <c r="C38" s="31" t="n">
        <v>5.6</v>
      </c>
      <c r="D38" s="31" t="n">
        <v>9.6</v>
      </c>
      <c r="E38" s="31" t="n">
        <v>9.6</v>
      </c>
      <c r="F38" s="32" t="n">
        <f aca="false">C38/D38*E38/B38</f>
        <v>0.056</v>
      </c>
      <c r="G38" s="26" t="n">
        <f aca="false">SUM(合并采购清单!D18)</f>
        <v>1</v>
      </c>
      <c r="H38" s="26" t="n">
        <f aca="false">SUM(合并采购清单!E18)</f>
        <v>0</v>
      </c>
      <c r="I38" s="25" t="n">
        <f aca="false">F38*G38*$B$4</f>
        <v>0.056</v>
      </c>
      <c r="J38" s="25" t="n">
        <f aca="false">F38*H38*$D$4</f>
        <v>0</v>
      </c>
      <c r="K38" s="25" t="n">
        <f aca="false">ROUNDUP((G38*$B$4+H38*$D$4)/B38,0)*C38</f>
        <v>5.6</v>
      </c>
      <c r="L38" s="25" t="n">
        <f aca="false">ROUNDUP(G38*$B$4/B38,0)*C38</f>
        <v>5.6</v>
      </c>
      <c r="M38" s="25" t="n">
        <f aca="false">ROUNDUP(H38*$D$4/B38,0)*C38</f>
        <v>0</v>
      </c>
      <c r="N38" s="21" t="str">
        <f aca="false">HYPERLINK("https://item.taobao.com/item.htm?id=931081429973","打开订单商品")</f>
        <v>打开订单商品</v>
      </c>
      <c r="O38" s="21" t="n">
        <v>126</v>
      </c>
    </row>
    <row r="39" customFormat="false" ht="66" hidden="false" customHeight="true" outlineLevel="0" collapsed="false">
      <c r="A39" s="21" t="s">
        <v>957</v>
      </c>
      <c r="B39" s="21" t="n">
        <v>100</v>
      </c>
      <c r="C39" s="31" t="n">
        <v>4</v>
      </c>
      <c r="D39" s="31" t="n">
        <v>9.6</v>
      </c>
      <c r="E39" s="31" t="n">
        <v>9.6</v>
      </c>
      <c r="F39" s="32" t="n">
        <f aca="false">C39/D39*E39/B39</f>
        <v>0.04</v>
      </c>
      <c r="G39" s="26" t="n">
        <f aca="false">SUM(合并采购清单!D19)</f>
        <v>2</v>
      </c>
      <c r="H39" s="26" t="n">
        <f aca="false">SUM(合并采购清单!E19)</f>
        <v>0</v>
      </c>
      <c r="I39" s="25" t="n">
        <f aca="false">F39*G39*$B$4</f>
        <v>0.08</v>
      </c>
      <c r="J39" s="25" t="n">
        <f aca="false">F39*H39*$D$4</f>
        <v>0</v>
      </c>
      <c r="K39" s="25" t="n">
        <f aca="false">ROUNDUP((G39*$B$4+H39*$D$4)/B39,0)*C39</f>
        <v>4</v>
      </c>
      <c r="L39" s="25" t="n">
        <f aca="false">ROUNDUP(G39*$B$4/B39,0)*C39</f>
        <v>4</v>
      </c>
      <c r="M39" s="25" t="n">
        <f aca="false">ROUNDUP(H39*$D$4/B39,0)*C39</f>
        <v>0</v>
      </c>
      <c r="N39" s="21" t="str">
        <f aca="false">HYPERLINK("https://item.taobao.com/item.htm?id=931081429973","打开订单商品")</f>
        <v>打开订单商品</v>
      </c>
      <c r="O39" s="21" t="n">
        <v>125</v>
      </c>
    </row>
    <row r="40" customFormat="false" ht="66" hidden="false" customHeight="true" outlineLevel="0" collapsed="false">
      <c r="A40" s="21" t="s">
        <v>958</v>
      </c>
      <c r="B40" s="21" t="n">
        <v>50</v>
      </c>
      <c r="C40" s="31" t="n">
        <v>2.5</v>
      </c>
      <c r="D40" s="31" t="n">
        <v>9.3</v>
      </c>
      <c r="E40" s="31" t="n">
        <v>9.3</v>
      </c>
      <c r="F40" s="32" t="n">
        <f aca="false">C40/D40*E40/B40</f>
        <v>0.05</v>
      </c>
      <c r="G40" s="26" t="n">
        <f aca="false">SUM(合并采购清单!D20)</f>
        <v>3</v>
      </c>
      <c r="H40" s="26" t="n">
        <f aca="false">SUM(合并采购清单!E20)</f>
        <v>0</v>
      </c>
      <c r="I40" s="25" t="n">
        <f aca="false">F40*G40*$B$4</f>
        <v>0.15</v>
      </c>
      <c r="J40" s="25" t="n">
        <f aca="false">F40*H40*$D$4</f>
        <v>0</v>
      </c>
      <c r="K40" s="25" t="n">
        <f aca="false">ROUNDUP((G40*$B$4+H40*$D$4)/B40,0)*C40</f>
        <v>2.5</v>
      </c>
      <c r="L40" s="25" t="n">
        <f aca="false">ROUNDUP(G40*$B$4/B40,0)*C40</f>
        <v>2.5</v>
      </c>
      <c r="M40" s="25" t="n">
        <f aca="false">ROUNDUP(H40*$D$4/B40,0)*C40</f>
        <v>0</v>
      </c>
      <c r="N40" s="21" t="str">
        <f aca="false">HYPERLINK("https://item.taobao.com/item.htm?id=832569969546","打开订单商品")</f>
        <v>打开订单商品</v>
      </c>
      <c r="O40" s="21" t="n">
        <v>118</v>
      </c>
    </row>
    <row r="41" customFormat="false" ht="66" hidden="false" customHeight="true" outlineLevel="0" collapsed="false">
      <c r="A41" s="21" t="s">
        <v>959</v>
      </c>
      <c r="B41" s="21" t="n">
        <v>2</v>
      </c>
      <c r="C41" s="31" t="n">
        <v>4.07</v>
      </c>
      <c r="D41" s="31" t="n">
        <v>4.07</v>
      </c>
      <c r="E41" s="31" t="n">
        <v>4.07</v>
      </c>
      <c r="F41" s="32" t="n">
        <f aca="false">C41/D41*E41/B41</f>
        <v>2.035</v>
      </c>
      <c r="G41" s="26" t="n">
        <f aca="false">SUM(合并采购清单!D21)</f>
        <v>1</v>
      </c>
      <c r="H41" s="26" t="n">
        <f aca="false">SUM(合并采购清单!E21)</f>
        <v>0</v>
      </c>
      <c r="I41" s="25" t="n">
        <f aca="false">F41*G41*$B$4</f>
        <v>2.035</v>
      </c>
      <c r="J41" s="25" t="n">
        <f aca="false">F41*H41*$D$4</f>
        <v>0</v>
      </c>
      <c r="K41" s="25" t="n">
        <f aca="false">ROUNDUP((G41*$B$4+H41*$D$4)/B41,0)*C41</f>
        <v>4.07</v>
      </c>
      <c r="L41" s="25" t="n">
        <f aca="false">ROUNDUP(G41*$B$4/B41,0)*C41</f>
        <v>4.07</v>
      </c>
      <c r="M41" s="25" t="n">
        <f aca="false">ROUNDUP(H41*$D$4/B41,0)*C41</f>
        <v>0</v>
      </c>
      <c r="N41" s="21" t="str">
        <f aca="false">HYPERLINK("https://item.taobao.com/item.htm?id=533725557959","打开订单商品")</f>
        <v>打开订单商品</v>
      </c>
      <c r="O41" s="21" t="n">
        <v>140</v>
      </c>
    </row>
    <row r="42" customFormat="false" ht="66" hidden="false" customHeight="true" outlineLevel="0" collapsed="false">
      <c r="A42" s="21" t="s">
        <v>960</v>
      </c>
      <c r="B42" s="21" t="n">
        <v>15</v>
      </c>
      <c r="C42" s="31" t="n">
        <v>2.22</v>
      </c>
      <c r="D42" s="31" t="n">
        <v>2.22</v>
      </c>
      <c r="E42" s="31" t="n">
        <v>2.22</v>
      </c>
      <c r="F42" s="32" t="n">
        <f aca="false">C42/D42*E42/B42</f>
        <v>0.148</v>
      </c>
      <c r="G42" s="26" t="n">
        <f aca="false">SUM(合并采购清单!D22)</f>
        <v>1</v>
      </c>
      <c r="H42" s="26" t="n">
        <f aca="false">SUM(合并采购清单!E22)</f>
        <v>0</v>
      </c>
      <c r="I42" s="25" t="n">
        <f aca="false">F42*G42*$B$4</f>
        <v>0.148</v>
      </c>
      <c r="J42" s="25" t="n">
        <f aca="false">F42*H42*$D$4</f>
        <v>0</v>
      </c>
      <c r="K42" s="25" t="n">
        <f aca="false">ROUNDUP((G42*$B$4+H42*$D$4)/B42,0)*C42</f>
        <v>2.22</v>
      </c>
      <c r="L42" s="25" t="n">
        <f aca="false">ROUNDUP(G42*$B$4/B42,0)*C42</f>
        <v>2.22</v>
      </c>
      <c r="M42" s="25" t="n">
        <f aca="false">ROUNDUP(H42*$D$4/B42,0)*C42</f>
        <v>0</v>
      </c>
      <c r="N42" s="21" t="str">
        <f aca="false">HYPERLINK("https://item.taobao.com/item.htm?id=920058690376","打开订单商品")</f>
        <v>打开订单商品</v>
      </c>
      <c r="O42" s="21" t="n">
        <v>139</v>
      </c>
    </row>
    <row r="43" customFormat="false" ht="66" hidden="false" customHeight="true" outlineLevel="0" collapsed="false">
      <c r="A43" s="21" t="s">
        <v>961</v>
      </c>
      <c r="B43" s="21" t="n">
        <v>50</v>
      </c>
      <c r="C43" s="31" t="n">
        <v>3</v>
      </c>
      <c r="D43" s="31" t="n">
        <v>9.3</v>
      </c>
      <c r="E43" s="31" t="n">
        <v>9.3</v>
      </c>
      <c r="F43" s="32" t="n">
        <f aca="false">C43/D43*E43/B43</f>
        <v>0.06</v>
      </c>
      <c r="G43" s="26" t="n">
        <f aca="false">SUM(合并采购清单!D23)</f>
        <v>2</v>
      </c>
      <c r="H43" s="26" t="n">
        <f aca="false">SUM(合并采购清单!E23)</f>
        <v>1</v>
      </c>
      <c r="I43" s="25" t="n">
        <f aca="false">F43*G43*$B$4</f>
        <v>0.12</v>
      </c>
      <c r="J43" s="25" t="n">
        <f aca="false">F43*H43*$D$4</f>
        <v>0.06</v>
      </c>
      <c r="K43" s="25" t="n">
        <f aca="false">ROUNDUP((G43*$B$4+H43*$D$4)/B43,0)*C43</f>
        <v>3</v>
      </c>
      <c r="L43" s="25" t="n">
        <f aca="false">ROUNDUP(G43*$B$4/B43,0)*C43</f>
        <v>3</v>
      </c>
      <c r="M43" s="25" t="n">
        <f aca="false">ROUNDUP(H43*$D$4/B43,0)*C43</f>
        <v>3</v>
      </c>
      <c r="N43" s="21" t="str">
        <f aca="false">HYPERLINK("https://item.taobao.com/item.htm?id=832569969546","打开订单商品")</f>
        <v>打开订单商品</v>
      </c>
      <c r="O43" s="21" t="n">
        <v>117</v>
      </c>
    </row>
    <row r="44" customFormat="false" ht="66" hidden="false" customHeight="true" outlineLevel="0" collapsed="false">
      <c r="A44" s="21" t="s">
        <v>962</v>
      </c>
      <c r="B44" s="21" t="n">
        <v>10</v>
      </c>
      <c r="C44" s="31" t="n">
        <v>2</v>
      </c>
      <c r="D44" s="31" t="n">
        <v>2</v>
      </c>
      <c r="E44" s="31" t="n">
        <v>2</v>
      </c>
      <c r="F44" s="32" t="n">
        <f aca="false">C44/D44*E44/B44</f>
        <v>0.2</v>
      </c>
      <c r="G44" s="26" t="n">
        <f aca="false">SUM(合并采购清单!D24)</f>
        <v>1</v>
      </c>
      <c r="H44" s="26" t="n">
        <f aca="false">SUM(合并采购清单!E24)</f>
        <v>0</v>
      </c>
      <c r="I44" s="25" t="n">
        <f aca="false">F44*G44*$B$4</f>
        <v>0.2</v>
      </c>
      <c r="J44" s="25" t="n">
        <f aca="false">F44*H44*$D$4</f>
        <v>0</v>
      </c>
      <c r="K44" s="25" t="n">
        <f aca="false">ROUNDUP((G44*$B$4+H44*$D$4)/B44,0)*C44</f>
        <v>2</v>
      </c>
      <c r="L44" s="25" t="n">
        <f aca="false">ROUNDUP(G44*$B$4/B44,0)*C44</f>
        <v>2</v>
      </c>
      <c r="M44" s="25" t="n">
        <f aca="false">ROUNDUP(H44*$D$4/B44,0)*C44</f>
        <v>0</v>
      </c>
      <c r="N44" s="21" t="str">
        <f aca="false">HYPERLINK("https://item.taobao.com/item.htm?id=598174251748","打开订单商品")</f>
        <v>打开订单商品</v>
      </c>
      <c r="O44" s="21" t="n">
        <v>127</v>
      </c>
    </row>
    <row r="45" customFormat="false" ht="66" hidden="false" customHeight="true" outlineLevel="0" collapsed="false">
      <c r="A45" s="21" t="s">
        <v>963</v>
      </c>
      <c r="B45" s="21" t="n">
        <v>2</v>
      </c>
      <c r="C45" s="31" t="n">
        <v>1.98</v>
      </c>
      <c r="D45" s="31" t="n">
        <v>3.96</v>
      </c>
      <c r="E45" s="31" t="n">
        <v>3.96</v>
      </c>
      <c r="F45" s="32" t="n">
        <f aca="false">C45/D45*E45/B45</f>
        <v>0.99</v>
      </c>
      <c r="G45" s="26" t="n">
        <f aca="false">SUM(合并采购清单!D25)</f>
        <v>1</v>
      </c>
      <c r="H45" s="26" t="n">
        <f aca="false">SUM(合并采购清单!E25)</f>
        <v>0</v>
      </c>
      <c r="I45" s="25" t="n">
        <f aca="false">F45*G45*$B$4</f>
        <v>0.99</v>
      </c>
      <c r="J45" s="25" t="n">
        <f aca="false">F45*H45*$D$4</f>
        <v>0</v>
      </c>
      <c r="K45" s="25" t="n">
        <f aca="false">ROUNDUP((G45*$B$4+H45*$D$4)/B45,0)*C45</f>
        <v>1.98</v>
      </c>
      <c r="L45" s="25" t="n">
        <f aca="false">ROUNDUP(G45*$B$4/B45,0)*C45</f>
        <v>1.98</v>
      </c>
      <c r="M45" s="25" t="n">
        <f aca="false">ROUNDUP(H45*$D$4/B45,0)*C45</f>
        <v>0</v>
      </c>
      <c r="N45" s="21" t="str">
        <f aca="false">HYPERLINK("https://item.taobao.com/item.htm?id=996702312391","打开订单商品")</f>
        <v>打开订单商品</v>
      </c>
      <c r="O45" s="21" t="n">
        <v>141</v>
      </c>
    </row>
    <row r="46" customFormat="false" ht="66" hidden="false" customHeight="true" outlineLevel="0" collapsed="false">
      <c r="A46" s="21" t="s">
        <v>964</v>
      </c>
      <c r="B46" s="21" t="n">
        <v>50</v>
      </c>
      <c r="C46" s="31" t="n">
        <v>1.77</v>
      </c>
      <c r="D46" s="31" t="n">
        <v>3.3</v>
      </c>
      <c r="E46" s="31" t="n">
        <v>3.3</v>
      </c>
      <c r="F46" s="32" t="n">
        <f aca="false">C46/D46*E46/B46</f>
        <v>0.0354</v>
      </c>
      <c r="G46" s="26" t="n">
        <f aca="false">SUM(合并采购清单!D26)</f>
        <v>1</v>
      </c>
      <c r="H46" s="26" t="n">
        <f aca="false">SUM(合并采购清单!E26)</f>
        <v>0</v>
      </c>
      <c r="I46" s="25" t="n">
        <f aca="false">F46*G46*$B$4</f>
        <v>0.0354</v>
      </c>
      <c r="J46" s="25" t="n">
        <f aca="false">F46*H46*$D$4</f>
        <v>0</v>
      </c>
      <c r="K46" s="25" t="n">
        <f aca="false">ROUNDUP((G46*$B$4+H46*$D$4)/B46,0)*C46</f>
        <v>1.77</v>
      </c>
      <c r="L46" s="25" t="n">
        <f aca="false">ROUNDUP(G46*$B$4/B46,0)*C46</f>
        <v>1.77</v>
      </c>
      <c r="M46" s="25" t="n">
        <f aca="false">ROUNDUP(H46*$D$4/B46,0)*C46</f>
        <v>0</v>
      </c>
      <c r="N46" s="21" t="str">
        <f aca="false">HYPERLINK("https://item.taobao.com/item.htm?id=944306254140","打开订单商品")</f>
        <v>打开订单商品</v>
      </c>
      <c r="O46" s="21" t="n">
        <v>121</v>
      </c>
    </row>
    <row r="47" customFormat="false" ht="66" hidden="false" customHeight="true" outlineLevel="0" collapsed="false">
      <c r="A47" s="21" t="s">
        <v>965</v>
      </c>
      <c r="B47" s="21" t="n">
        <v>20</v>
      </c>
      <c r="C47" s="31" t="n">
        <v>3</v>
      </c>
      <c r="D47" s="31" t="n">
        <v>3</v>
      </c>
      <c r="E47" s="31" t="n">
        <v>3</v>
      </c>
      <c r="F47" s="32" t="n">
        <f aca="false">C47/D47*E47/B47</f>
        <v>0.15</v>
      </c>
      <c r="G47" s="26" t="n">
        <f aca="false">SUM(合并采购清单!D27)</f>
        <v>1</v>
      </c>
      <c r="H47" s="26" t="n">
        <f aca="false">SUM(合并采购清单!E27)</f>
        <v>0</v>
      </c>
      <c r="I47" s="25" t="n">
        <f aca="false">F47*G47*$B$4</f>
        <v>0.15</v>
      </c>
      <c r="J47" s="25" t="n">
        <f aca="false">F47*H47*$D$4</f>
        <v>0</v>
      </c>
      <c r="K47" s="25" t="n">
        <f aca="false">ROUNDUP((G47*$B$4+H47*$D$4)/B47,0)*C47</f>
        <v>3</v>
      </c>
      <c r="L47" s="25" t="n">
        <f aca="false">ROUNDUP(G47*$B$4/B47,0)*C47</f>
        <v>3</v>
      </c>
      <c r="M47" s="25" t="n">
        <f aca="false">ROUNDUP(H47*$D$4/B47,0)*C47</f>
        <v>0</v>
      </c>
      <c r="N47" s="21" t="str">
        <f aca="false">HYPERLINK("https://item.taobao.com/item.htm?id=909264246006","打开订单商品")</f>
        <v>打开订单商品</v>
      </c>
      <c r="O47" s="21" t="n">
        <v>93</v>
      </c>
    </row>
    <row r="48" customFormat="false" ht="66" hidden="false" customHeight="true" outlineLevel="0" collapsed="false">
      <c r="A48" s="21" t="s">
        <v>966</v>
      </c>
      <c r="B48" s="21" t="n">
        <v>100</v>
      </c>
      <c r="C48" s="31" t="n">
        <v>1.42</v>
      </c>
      <c r="D48" s="31" t="n">
        <v>1.42</v>
      </c>
      <c r="E48" s="31" t="n">
        <v>1.42</v>
      </c>
      <c r="F48" s="32" t="n">
        <f aca="false">C48/D48*E48/B48</f>
        <v>0.0142</v>
      </c>
      <c r="G48" s="26" t="n">
        <f aca="false">SUM(合并采购清单!D28)</f>
        <v>12</v>
      </c>
      <c r="H48" s="26" t="n">
        <f aca="false">SUM(合并采购清单!E28)</f>
        <v>3</v>
      </c>
      <c r="I48" s="25" t="n">
        <f aca="false">F48*G48*$B$4</f>
        <v>0.1704</v>
      </c>
      <c r="J48" s="25" t="n">
        <f aca="false">F48*H48*$D$4</f>
        <v>0.0426</v>
      </c>
      <c r="K48" s="25" t="n">
        <f aca="false">ROUNDUP((G48*$B$4+H48*$D$4)/B48,0)*C48</f>
        <v>1.42</v>
      </c>
      <c r="L48" s="25" t="n">
        <f aca="false">ROUNDUP(G48*$B$4/B48,0)*C48</f>
        <v>1.42</v>
      </c>
      <c r="M48" s="25" t="n">
        <f aca="false">ROUNDUP(H48*$D$4/B48,0)*C48</f>
        <v>1.42</v>
      </c>
      <c r="N48" s="21" t="str">
        <f aca="false">HYPERLINK("https://item.taobao.com/item.htm?id=947267344247","打开订单商品")</f>
        <v>打开订单商品</v>
      </c>
      <c r="O48" s="21" t="n">
        <v>80</v>
      </c>
    </row>
    <row r="49" customFormat="false" ht="66" hidden="false" customHeight="true" outlineLevel="0" collapsed="false">
      <c r="A49" s="21" t="s">
        <v>967</v>
      </c>
      <c r="B49" s="21" t="n">
        <v>100</v>
      </c>
      <c r="C49" s="31" t="n">
        <v>1.46</v>
      </c>
      <c r="D49" s="31" t="n">
        <v>4.34</v>
      </c>
      <c r="E49" s="31" t="n">
        <v>4.34</v>
      </c>
      <c r="F49" s="32" t="n">
        <f aca="false">C49/D49*E49/B49</f>
        <v>0.0146</v>
      </c>
      <c r="G49" s="26" t="n">
        <f aca="false">SUM(合并采购清单!D29)</f>
        <v>5</v>
      </c>
      <c r="H49" s="26" t="n">
        <f aca="false">SUM(合并采购清单!E29)</f>
        <v>1</v>
      </c>
      <c r="I49" s="25" t="n">
        <f aca="false">F49*G49*$B$4</f>
        <v>0.073</v>
      </c>
      <c r="J49" s="25" t="n">
        <f aca="false">F49*H49*$D$4</f>
        <v>0.0146</v>
      </c>
      <c r="K49" s="25" t="n">
        <f aca="false">ROUNDUP((G49*$B$4+H49*$D$4)/B49,0)*C49</f>
        <v>1.46</v>
      </c>
      <c r="L49" s="25" t="n">
        <f aca="false">ROUNDUP(G49*$B$4/B49,0)*C49</f>
        <v>1.46</v>
      </c>
      <c r="M49" s="25" t="n">
        <f aca="false">ROUNDUP(H49*$D$4/B49,0)*C49</f>
        <v>1.46</v>
      </c>
      <c r="N49" s="21" t="str">
        <f aca="false">HYPERLINK("https://item.taobao.com/item.htm?id=947267344247","打开订单商品")</f>
        <v>打开订单商品</v>
      </c>
      <c r="O49" s="21" t="n">
        <v>155</v>
      </c>
    </row>
    <row r="50" customFormat="false" ht="66" hidden="false" customHeight="true" outlineLevel="0" collapsed="false">
      <c r="A50" s="21" t="s">
        <v>968</v>
      </c>
      <c r="B50" s="21" t="n">
        <v>100</v>
      </c>
      <c r="C50" s="31" t="n">
        <v>1.46</v>
      </c>
      <c r="D50" s="31" t="n">
        <v>4.38</v>
      </c>
      <c r="E50" s="31" t="n">
        <v>4.38</v>
      </c>
      <c r="F50" s="32" t="n">
        <f aca="false">C50/D50*E50/B50</f>
        <v>0.0146</v>
      </c>
      <c r="G50" s="26" t="n">
        <f aca="false">SUM(合并采购清单!D30)</f>
        <v>1</v>
      </c>
      <c r="H50" s="26" t="n">
        <f aca="false">SUM(合并采购清单!E30)</f>
        <v>0</v>
      </c>
      <c r="I50" s="25" t="n">
        <f aca="false">F50*G50*$B$4</f>
        <v>0.0146</v>
      </c>
      <c r="J50" s="25" t="n">
        <f aca="false">F50*H50*$D$4</f>
        <v>0</v>
      </c>
      <c r="K50" s="25" t="n">
        <f aca="false">ROUNDUP((G50*$B$4+H50*$D$4)/B50,0)*C50</f>
        <v>1.46</v>
      </c>
      <c r="L50" s="25" t="n">
        <f aca="false">ROUNDUP(G50*$B$4/B50,0)*C50</f>
        <v>1.46</v>
      </c>
      <c r="M50" s="25" t="n">
        <f aca="false">ROUNDUP(H50*$D$4/B50,0)*C50</f>
        <v>0</v>
      </c>
      <c r="N50" s="21" t="str">
        <f aca="false">HYPERLINK("https://item.taobao.com/item.htm?id=947267344247","打开订单商品")</f>
        <v>打开订单商品</v>
      </c>
      <c r="O50" s="21" t="n">
        <v>134</v>
      </c>
    </row>
    <row r="51" customFormat="false" ht="66" hidden="false" customHeight="true" outlineLevel="0" collapsed="false">
      <c r="A51" s="21" t="s">
        <v>969</v>
      </c>
      <c r="B51" s="21" t="n">
        <v>100</v>
      </c>
      <c r="C51" s="31" t="n">
        <v>1.46</v>
      </c>
      <c r="D51" s="31" t="n">
        <v>4.38</v>
      </c>
      <c r="E51" s="31" t="n">
        <v>4.38</v>
      </c>
      <c r="F51" s="32" t="n">
        <f aca="false">C51/D51*E51/B51</f>
        <v>0.0146</v>
      </c>
      <c r="G51" s="26" t="n">
        <f aca="false">SUM(合并采购清单!D31)</f>
        <v>1</v>
      </c>
      <c r="H51" s="26" t="n">
        <f aca="false">SUM(合并采购清单!E31)</f>
        <v>0</v>
      </c>
      <c r="I51" s="25" t="n">
        <f aca="false">F51*G51*$B$4</f>
        <v>0.0146</v>
      </c>
      <c r="J51" s="25" t="n">
        <f aca="false">F51*H51*$D$4</f>
        <v>0</v>
      </c>
      <c r="K51" s="25" t="n">
        <f aca="false">ROUNDUP((G51*$B$4+H51*$D$4)/B51,0)*C51</f>
        <v>1.46</v>
      </c>
      <c r="L51" s="25" t="n">
        <f aca="false">ROUNDUP(G51*$B$4/B51,0)*C51</f>
        <v>1.46</v>
      </c>
      <c r="M51" s="25" t="n">
        <f aca="false">ROUNDUP(H51*$D$4/B51,0)*C51</f>
        <v>0</v>
      </c>
      <c r="N51" s="21" t="str">
        <f aca="false">HYPERLINK("https://item.taobao.com/item.htm?id=947267344247","打开订单商品")</f>
        <v>打开订单商品</v>
      </c>
      <c r="O51" s="21" t="n">
        <v>135</v>
      </c>
    </row>
    <row r="52" customFormat="false" ht="66" hidden="false" customHeight="true" outlineLevel="0" collapsed="false">
      <c r="A52" s="21" t="s">
        <v>970</v>
      </c>
      <c r="B52" s="21" t="n">
        <v>1</v>
      </c>
      <c r="C52" s="31" t="n">
        <v>0.7</v>
      </c>
      <c r="D52" s="31" t="n">
        <v>7</v>
      </c>
      <c r="E52" s="31" t="n">
        <v>12</v>
      </c>
      <c r="F52" s="32" t="n">
        <f aca="false">C52/D52*E52/B52</f>
        <v>1.2</v>
      </c>
      <c r="G52" s="26" t="n">
        <f aca="false">SUM(合并采购清单!D32)</f>
        <v>1</v>
      </c>
      <c r="H52" s="26" t="n">
        <f aca="false">SUM(合并采购清单!E32)</f>
        <v>0</v>
      </c>
      <c r="I52" s="25" t="n">
        <f aca="false">F52*G52*$B$4</f>
        <v>1.2</v>
      </c>
      <c r="J52" s="25" t="n">
        <f aca="false">F52*H52*$D$4</f>
        <v>0</v>
      </c>
      <c r="K52" s="25" t="n">
        <f aca="false">ROUNDUP((G52*$B$4+H52*$D$4)/B52,0)*C52</f>
        <v>0.7</v>
      </c>
      <c r="L52" s="25" t="n">
        <f aca="false">ROUNDUP(G52*$B$4/B52,0)*C52</f>
        <v>0.7</v>
      </c>
      <c r="M52" s="25" t="n">
        <f aca="false">ROUNDUP(H52*$D$4/B52,0)*C52</f>
        <v>0</v>
      </c>
      <c r="N52" s="21" t="str">
        <f aca="false">HYPERLINK("https://item.taobao.com/item.htm?id=582129955778","打开订单商品")</f>
        <v>打开订单商品</v>
      </c>
      <c r="O52" s="21" t="n">
        <v>95</v>
      </c>
    </row>
    <row r="53" customFormat="false" ht="66" hidden="false" customHeight="true" outlineLevel="0" collapsed="false">
      <c r="A53" s="21" t="s">
        <v>971</v>
      </c>
      <c r="B53" s="21" t="n">
        <v>1</v>
      </c>
      <c r="C53" s="31" t="n">
        <v>1.18</v>
      </c>
      <c r="D53" s="31" t="n">
        <v>5.9</v>
      </c>
      <c r="E53" s="31" t="n">
        <v>5.89</v>
      </c>
      <c r="F53" s="32" t="n">
        <f aca="false">C53/D53*E53/B53</f>
        <v>1.178</v>
      </c>
      <c r="G53" s="26" t="n">
        <f aca="false">SUM(合并采购清单!D33)</f>
        <v>1</v>
      </c>
      <c r="H53" s="26" t="n">
        <f aca="false">SUM(合并采购清单!E33)</f>
        <v>0</v>
      </c>
      <c r="I53" s="25" t="n">
        <f aca="false">F53*G53*$B$4</f>
        <v>1.178</v>
      </c>
      <c r="J53" s="25" t="n">
        <f aca="false">F53*H53*$D$4</f>
        <v>0</v>
      </c>
      <c r="K53" s="25" t="n">
        <f aca="false">ROUNDUP((G53*$B$4+H53*$D$4)/B53,0)*C53</f>
        <v>1.18</v>
      </c>
      <c r="L53" s="25" t="n">
        <f aca="false">ROUNDUP(G53*$B$4/B53,0)*C53</f>
        <v>1.18</v>
      </c>
      <c r="M53" s="25" t="n">
        <f aca="false">ROUNDUP(H53*$D$4/B53,0)*C53</f>
        <v>0</v>
      </c>
      <c r="N53" s="21" t="str">
        <f aca="false">HYPERLINK("https://item.taobao.com/item.htm?id=808484505787","打开订单商品")</f>
        <v>打开订单商品</v>
      </c>
      <c r="O53" s="21" t="n">
        <v>132</v>
      </c>
    </row>
    <row r="54" customFormat="false" ht="66" hidden="false" customHeight="true" outlineLevel="0" collapsed="false">
      <c r="A54" s="21" t="s">
        <v>972</v>
      </c>
      <c r="B54" s="21" t="n">
        <v>1</v>
      </c>
      <c r="C54" s="31" t="n">
        <v>1.9</v>
      </c>
      <c r="D54" s="31" t="n">
        <v>9.5</v>
      </c>
      <c r="E54" s="31" t="n">
        <v>11.52</v>
      </c>
      <c r="F54" s="32" t="n">
        <f aca="false">C54/D54*E54/B54</f>
        <v>2.304</v>
      </c>
      <c r="G54" s="26" t="n">
        <f aca="false">SUM(合并采购清单!D34)</f>
        <v>1</v>
      </c>
      <c r="H54" s="26" t="n">
        <f aca="false">SUM(合并采购清单!E34)</f>
        <v>0</v>
      </c>
      <c r="I54" s="25" t="n">
        <f aca="false">F54*G54*$B$4</f>
        <v>2.304</v>
      </c>
      <c r="J54" s="25" t="n">
        <f aca="false">F54*H54*$D$4</f>
        <v>0</v>
      </c>
      <c r="K54" s="25" t="n">
        <f aca="false">ROUNDUP((G54*$B$4+H54*$D$4)/B54,0)*C54</f>
        <v>1.9</v>
      </c>
      <c r="L54" s="25" t="n">
        <f aca="false">ROUNDUP(G54*$B$4/B54,0)*C54</f>
        <v>1.9</v>
      </c>
      <c r="M54" s="25" t="n">
        <f aca="false">ROUNDUP(H54*$D$4/B54,0)*C54</f>
        <v>0</v>
      </c>
      <c r="N54" s="21" t="str">
        <f aca="false">HYPERLINK("https://item.taobao.com/item.htm?id=908248360601","打开订单商品")</f>
        <v>打开订单商品</v>
      </c>
      <c r="O54" s="21" t="n">
        <v>143</v>
      </c>
    </row>
    <row r="55" customFormat="false" ht="66" hidden="false" customHeight="true" outlineLevel="0" collapsed="false">
      <c r="A55" s="21" t="s">
        <v>973</v>
      </c>
      <c r="B55" s="21" t="n">
        <v>20</v>
      </c>
      <c r="C55" s="31" t="n">
        <v>1.8</v>
      </c>
      <c r="D55" s="31" t="n">
        <v>9.3</v>
      </c>
      <c r="E55" s="31" t="n">
        <v>9.3</v>
      </c>
      <c r="F55" s="32" t="n">
        <f aca="false">C55/D55*E55/B55</f>
        <v>0.09</v>
      </c>
      <c r="G55" s="26" t="n">
        <f aca="false">SUM(合并采购清单!D35)</f>
        <v>1</v>
      </c>
      <c r="H55" s="26" t="n">
        <f aca="false">SUM(合并采购清单!E35)</f>
        <v>0</v>
      </c>
      <c r="I55" s="25" t="n">
        <f aca="false">F55*G55*$B$4</f>
        <v>0.09</v>
      </c>
      <c r="J55" s="25" t="n">
        <f aca="false">F55*H55*$D$4</f>
        <v>0</v>
      </c>
      <c r="K55" s="25" t="n">
        <f aca="false">ROUNDUP((G55*$B$4+H55*$D$4)/B55,0)*C55</f>
        <v>1.8</v>
      </c>
      <c r="L55" s="25" t="n">
        <f aca="false">ROUNDUP(G55*$B$4/B55,0)*C55</f>
        <v>1.8</v>
      </c>
      <c r="M55" s="25" t="n">
        <f aca="false">ROUNDUP(H55*$D$4/B55,0)*C55</f>
        <v>0</v>
      </c>
      <c r="N55" s="21" t="str">
        <f aca="false">HYPERLINK("https://item.taobao.com/item.htm?id=762173333947","打开订单商品")</f>
        <v>打开订单商品</v>
      </c>
      <c r="O55" s="21" t="n">
        <v>119</v>
      </c>
    </row>
    <row r="56" customFormat="false" ht="66" hidden="false" customHeight="true" outlineLevel="0" collapsed="false">
      <c r="A56" s="21" t="s">
        <v>974</v>
      </c>
      <c r="B56" s="21" t="n">
        <v>5</v>
      </c>
      <c r="C56" s="31" t="n">
        <v>1.2</v>
      </c>
      <c r="D56" s="31" t="n">
        <v>4.3</v>
      </c>
      <c r="E56" s="31" t="n">
        <v>4.3</v>
      </c>
      <c r="F56" s="32" t="n">
        <f aca="false">C56/D56*E56/B56</f>
        <v>0.24</v>
      </c>
      <c r="G56" s="26" t="n">
        <f aca="false">SUM(合并采购清单!D36)</f>
        <v>1</v>
      </c>
      <c r="H56" s="26" t="n">
        <f aca="false">SUM(合并采购清单!E36)</f>
        <v>0</v>
      </c>
      <c r="I56" s="25" t="n">
        <f aca="false">F56*G56*$B$4</f>
        <v>0.24</v>
      </c>
      <c r="J56" s="25" t="n">
        <f aca="false">F56*H56*$D$4</f>
        <v>0</v>
      </c>
      <c r="K56" s="25" t="n">
        <f aca="false">ROUNDUP((G56*$B$4+H56*$D$4)/B56,0)*C56</f>
        <v>1.2</v>
      </c>
      <c r="L56" s="25" t="n">
        <f aca="false">ROUNDUP(G56*$B$4/B56,0)*C56</f>
        <v>1.2</v>
      </c>
      <c r="M56" s="25" t="n">
        <f aca="false">ROUNDUP(H56*$D$4/B56,0)*C56</f>
        <v>0</v>
      </c>
      <c r="N56" s="21" t="str">
        <f aca="false">HYPERLINK("https://item.taobao.com/item.htm?id=902117985110","打开订单商品")</f>
        <v>打开订单商品</v>
      </c>
      <c r="O56" s="21" t="n">
        <v>130</v>
      </c>
    </row>
    <row r="57" customFormat="false" ht="66" hidden="false" customHeight="true" outlineLevel="0" collapsed="false">
      <c r="A57" s="21" t="s">
        <v>975</v>
      </c>
      <c r="B57" s="21" t="n">
        <v>5</v>
      </c>
      <c r="C57" s="31" t="n">
        <v>1.3</v>
      </c>
      <c r="D57" s="31" t="n">
        <v>4.3</v>
      </c>
      <c r="E57" s="31" t="n">
        <v>4.3</v>
      </c>
      <c r="F57" s="32" t="n">
        <f aca="false">C57/D57*E57/B57</f>
        <v>0.26</v>
      </c>
      <c r="G57" s="26" t="n">
        <f aca="false">SUM(合并采购清单!D37)</f>
        <v>1</v>
      </c>
      <c r="H57" s="26" t="n">
        <f aca="false">SUM(合并采购清单!E37)</f>
        <v>0</v>
      </c>
      <c r="I57" s="25" t="n">
        <f aca="false">F57*G57*$B$4</f>
        <v>0.26</v>
      </c>
      <c r="J57" s="25" t="n">
        <f aca="false">F57*H57*$D$4</f>
        <v>0</v>
      </c>
      <c r="K57" s="25" t="n">
        <f aca="false">ROUNDUP((G57*$B$4+H57*$D$4)/B57,0)*C57</f>
        <v>1.3</v>
      </c>
      <c r="L57" s="25" t="n">
        <f aca="false">ROUNDUP(G57*$B$4/B57,0)*C57</f>
        <v>1.3</v>
      </c>
      <c r="M57" s="25" t="n">
        <f aca="false">ROUNDUP(H57*$D$4/B57,0)*C57</f>
        <v>0</v>
      </c>
      <c r="N57" s="21" t="str">
        <f aca="false">HYPERLINK("https://item.taobao.com/item.htm?id=902117985110","打开订单商品")</f>
        <v>打开订单商品</v>
      </c>
      <c r="O57" s="21" t="n">
        <v>128</v>
      </c>
    </row>
    <row r="58" customFormat="false" ht="66" hidden="false" customHeight="true" outlineLevel="0" collapsed="false">
      <c r="A58" s="21" t="s">
        <v>976</v>
      </c>
      <c r="B58" s="21" t="n">
        <v>5</v>
      </c>
      <c r="C58" s="31" t="n">
        <v>1.8</v>
      </c>
      <c r="D58" s="31" t="n">
        <v>4.3</v>
      </c>
      <c r="E58" s="31" t="n">
        <v>4.3</v>
      </c>
      <c r="F58" s="32" t="n">
        <f aca="false">C58/D58*E58/B58</f>
        <v>0.36</v>
      </c>
      <c r="G58" s="26" t="n">
        <f aca="false">SUM(合并采购清单!D38)</f>
        <v>1</v>
      </c>
      <c r="H58" s="26" t="n">
        <f aca="false">SUM(合并采购清单!E38)</f>
        <v>0</v>
      </c>
      <c r="I58" s="25" t="n">
        <f aca="false">F58*G58*$B$4</f>
        <v>0.36</v>
      </c>
      <c r="J58" s="25" t="n">
        <f aca="false">F58*H58*$D$4</f>
        <v>0</v>
      </c>
      <c r="K58" s="25" t="n">
        <f aca="false">ROUNDUP((G58*$B$4+H58*$D$4)/B58,0)*C58</f>
        <v>1.8</v>
      </c>
      <c r="L58" s="25" t="n">
        <f aca="false">ROUNDUP(G58*$B$4/B58,0)*C58</f>
        <v>1.8</v>
      </c>
      <c r="M58" s="25" t="n">
        <f aca="false">ROUNDUP(H58*$D$4/B58,0)*C58</f>
        <v>0</v>
      </c>
      <c r="N58" s="21" t="str">
        <f aca="false">HYPERLINK("https://item.taobao.com/item.htm?id=902117985110","打开订单商品")</f>
        <v>打开订单商品</v>
      </c>
      <c r="O58" s="21" t="n">
        <v>129</v>
      </c>
    </row>
    <row r="59" customFormat="false" ht="66" hidden="false" customHeight="true" outlineLevel="0" collapsed="false">
      <c r="A59" s="21" t="s">
        <v>977</v>
      </c>
      <c r="B59" s="21" t="n">
        <v>1</v>
      </c>
      <c r="C59" s="31" t="n">
        <v>1.28</v>
      </c>
      <c r="D59" s="31" t="n">
        <v>6.4</v>
      </c>
      <c r="E59" s="31" t="n">
        <v>6.39</v>
      </c>
      <c r="F59" s="32" t="n">
        <f aca="false">C59/D59*E59/B59</f>
        <v>1.278</v>
      </c>
      <c r="G59" s="26" t="n">
        <f aca="false">SUM(合并采购清单!D39)</f>
        <v>1</v>
      </c>
      <c r="H59" s="26" t="n">
        <f aca="false">SUM(合并采购清单!E39)</f>
        <v>0</v>
      </c>
      <c r="I59" s="25" t="n">
        <f aca="false">F59*G59*$B$4</f>
        <v>1.278</v>
      </c>
      <c r="J59" s="25" t="n">
        <f aca="false">F59*H59*$D$4</f>
        <v>0</v>
      </c>
      <c r="K59" s="25" t="n">
        <f aca="false">ROUNDUP((G59*$B$4+H59*$D$4)/B59,0)*C59</f>
        <v>1.28</v>
      </c>
      <c r="L59" s="25" t="n">
        <f aca="false">ROUNDUP(G59*$B$4/B59,0)*C59</f>
        <v>1.28</v>
      </c>
      <c r="M59" s="25" t="n">
        <f aca="false">ROUNDUP(H59*$D$4/B59,0)*C59</f>
        <v>0</v>
      </c>
      <c r="N59" s="21" t="str">
        <f aca="false">HYPERLINK("https://item.taobao.com/item.htm?id=969642590399","打开订单商品")</f>
        <v>打开订单商品</v>
      </c>
      <c r="O59" s="21" t="n">
        <v>203</v>
      </c>
    </row>
    <row r="60" customFormat="false" ht="66" hidden="false" customHeight="true" outlineLevel="0" collapsed="false">
      <c r="A60" s="21" t="s">
        <v>978</v>
      </c>
      <c r="B60" s="21" t="n">
        <v>1</v>
      </c>
      <c r="C60" s="31" t="n">
        <v>2.46</v>
      </c>
      <c r="D60" s="31" t="n">
        <v>12.3</v>
      </c>
      <c r="E60" s="31" t="n">
        <v>12.28</v>
      </c>
      <c r="F60" s="32" t="n">
        <f aca="false">C60/D60*E60/B60</f>
        <v>2.456</v>
      </c>
      <c r="G60" s="26" t="n">
        <f aca="false">SUM(合并采购清单!D40)</f>
        <v>1</v>
      </c>
      <c r="H60" s="26" t="n">
        <f aca="false">SUM(合并采购清单!E40)</f>
        <v>0</v>
      </c>
      <c r="I60" s="25" t="n">
        <f aca="false">F60*G60*$B$4</f>
        <v>2.456</v>
      </c>
      <c r="J60" s="25" t="n">
        <f aca="false">F60*H60*$D$4</f>
        <v>0</v>
      </c>
      <c r="K60" s="25" t="n">
        <f aca="false">ROUNDUP((G60*$B$4+H60*$D$4)/B60,0)*C60</f>
        <v>2.46</v>
      </c>
      <c r="L60" s="25" t="n">
        <f aca="false">ROUNDUP(G60*$B$4/B60,0)*C60</f>
        <v>2.46</v>
      </c>
      <c r="M60" s="25" t="n">
        <f aca="false">ROUNDUP(H60*$D$4/B60,0)*C60</f>
        <v>0</v>
      </c>
      <c r="N60" s="21" t="str">
        <f aca="false">HYPERLINK("https://item.taobao.com/item.htm?id=1013388982214","打开订单商品")</f>
        <v>打开订单商品</v>
      </c>
      <c r="O60" s="21" t="n">
        <v>137</v>
      </c>
    </row>
    <row r="61" customFormat="false" ht="66" hidden="false" customHeight="true" outlineLevel="0" collapsed="false">
      <c r="A61" s="21" t="s">
        <v>979</v>
      </c>
      <c r="B61" s="21" t="n">
        <v>1</v>
      </c>
      <c r="C61" s="31" t="n">
        <v>1.45</v>
      </c>
      <c r="D61" s="31" t="n">
        <v>7.25</v>
      </c>
      <c r="E61" s="31" t="n">
        <v>7.26</v>
      </c>
      <c r="F61" s="32" t="n">
        <f aca="false">C61/D61*E61/B61</f>
        <v>1.452</v>
      </c>
      <c r="G61" s="26" t="n">
        <f aca="false">SUM(合并采购清单!D41)</f>
        <v>1</v>
      </c>
      <c r="H61" s="26" t="n">
        <f aca="false">SUM(合并采购清单!E41)</f>
        <v>0</v>
      </c>
      <c r="I61" s="25" t="n">
        <f aca="false">F61*G61*$B$4</f>
        <v>1.452</v>
      </c>
      <c r="J61" s="25" t="n">
        <f aca="false">F61*H61*$D$4</f>
        <v>0</v>
      </c>
      <c r="K61" s="25" t="n">
        <f aca="false">ROUNDUP((G61*$B$4+H61*$D$4)/B61,0)*C61</f>
        <v>1.45</v>
      </c>
      <c r="L61" s="25" t="n">
        <f aca="false">ROUNDUP(G61*$B$4/B61,0)*C61</f>
        <v>1.45</v>
      </c>
      <c r="M61" s="25" t="n">
        <f aca="false">ROUNDUP(H61*$D$4/B61,0)*C61</f>
        <v>0</v>
      </c>
      <c r="N61" s="21" t="str">
        <f aca="false">HYPERLINK("https://item.taobao.com/item.htm?id=944053669860","打开订单商品")</f>
        <v>打开订单商品</v>
      </c>
      <c r="O61" s="21" t="n">
        <v>131</v>
      </c>
    </row>
    <row r="62" customFormat="false" ht="66" hidden="false" customHeight="true" outlineLevel="0" collapsed="false">
      <c r="A62" s="21" t="s">
        <v>980</v>
      </c>
      <c r="B62" s="21" t="n">
        <v>1</v>
      </c>
      <c r="C62" s="31" t="n">
        <v>0.06</v>
      </c>
      <c r="D62" s="31" t="n">
        <v>6</v>
      </c>
      <c r="E62" s="31" t="n">
        <v>6.94</v>
      </c>
      <c r="F62" s="32" t="n">
        <f aca="false">C62/D62*E62/B62</f>
        <v>0.0694</v>
      </c>
      <c r="G62" s="26" t="n">
        <f aca="false">SUM(合并采购清单!D42)</f>
        <v>0</v>
      </c>
      <c r="H62" s="26" t="n">
        <f aca="false">SUM(合并采购清单!E42)</f>
        <v>2</v>
      </c>
      <c r="I62" s="25" t="n">
        <f aca="false">F62*G62*$B$4</f>
        <v>0</v>
      </c>
      <c r="J62" s="25" t="n">
        <f aca="false">F62*H62*$D$4</f>
        <v>0.1388</v>
      </c>
      <c r="K62" s="25" t="n">
        <f aca="false">ROUNDUP((G62*$B$4+H62*$D$4)/B62,0)*C62</f>
        <v>0.12</v>
      </c>
      <c r="L62" s="25" t="n">
        <f aca="false">ROUNDUP(G62*$B$4/B62,0)*C62</f>
        <v>0</v>
      </c>
      <c r="M62" s="25" t="n">
        <f aca="false">ROUNDUP(H62*$D$4/B62,0)*C62</f>
        <v>0.12</v>
      </c>
      <c r="N62" s="21" t="str">
        <f aca="false">HYPERLINK("https://item.taobao.com/item.htm?id=977236759812","打开订单商品")</f>
        <v>打开订单商品</v>
      </c>
      <c r="O62" s="21" t="n">
        <v>153</v>
      </c>
    </row>
    <row r="63" customFormat="false" ht="66" hidden="false" customHeight="true" outlineLevel="0" collapsed="false">
      <c r="A63" s="21" t="s">
        <v>981</v>
      </c>
      <c r="B63" s="21" t="n">
        <v>1</v>
      </c>
      <c r="C63" s="31" t="n">
        <v>0.06</v>
      </c>
      <c r="D63" s="31" t="n">
        <v>3</v>
      </c>
      <c r="E63" s="31" t="n">
        <v>4.5</v>
      </c>
      <c r="F63" s="32" t="n">
        <f aca="false">C63/D63*E63/B63</f>
        <v>0.09</v>
      </c>
      <c r="G63" s="26" t="n">
        <f aca="false">SUM(合并采购清单!D45)</f>
        <v>0</v>
      </c>
      <c r="H63" s="26" t="n">
        <f aca="false">SUM(合并采购清单!E45)</f>
        <v>1</v>
      </c>
      <c r="I63" s="25" t="n">
        <f aca="false">F63*G63*$B$4</f>
        <v>0</v>
      </c>
      <c r="J63" s="25" t="n">
        <f aca="false">F63*H63*$D$4</f>
        <v>0.09</v>
      </c>
      <c r="K63" s="25" t="n">
        <f aca="false">ROUNDUP((G63*$B$4+H63*$D$4)/B63,0)*C63</f>
        <v>0.06</v>
      </c>
      <c r="L63" s="25" t="n">
        <f aca="false">ROUNDUP(G63*$B$4/B63,0)*C63</f>
        <v>0</v>
      </c>
      <c r="M63" s="25" t="n">
        <f aca="false">ROUNDUP(H63*$D$4/B63,0)*C63</f>
        <v>0.06</v>
      </c>
      <c r="N63" s="21" t="str">
        <f aca="false">HYPERLINK("https://item.taobao.com/item.htm?id=891785167202","打开订单商品")</f>
        <v>打开订单商品</v>
      </c>
      <c r="O63" s="21" t="n">
        <v>160</v>
      </c>
    </row>
    <row r="64" customFormat="false" ht="66" hidden="false" customHeight="true" outlineLevel="0" collapsed="false">
      <c r="A64" s="21" t="s">
        <v>982</v>
      </c>
      <c r="B64" s="21" t="n">
        <v>100</v>
      </c>
      <c r="C64" s="31" t="n">
        <v>1.8</v>
      </c>
      <c r="D64" s="31" t="n">
        <v>3.6</v>
      </c>
      <c r="E64" s="31" t="n">
        <v>3.6</v>
      </c>
      <c r="F64" s="32" t="n">
        <f aca="false">C64/D64*E64/B64</f>
        <v>0.018</v>
      </c>
      <c r="G64" s="26" t="n">
        <f aca="false">SUM(合并采购清单!D46)</f>
        <v>0</v>
      </c>
      <c r="H64" s="26" t="n">
        <f aca="false">SUM(合并采购清单!E46)</f>
        <v>1</v>
      </c>
      <c r="I64" s="25" t="n">
        <f aca="false">F64*G64*$B$4</f>
        <v>0</v>
      </c>
      <c r="J64" s="25" t="n">
        <f aca="false">F64*H64*$D$4</f>
        <v>0.018</v>
      </c>
      <c r="K64" s="25" t="n">
        <f aca="false">ROUNDUP((G64*$B$4+H64*$D$4)/B64,0)*C64</f>
        <v>1.8</v>
      </c>
      <c r="L64" s="25" t="n">
        <f aca="false">ROUNDUP(G64*$B$4/B64,0)*C64</f>
        <v>0</v>
      </c>
      <c r="M64" s="25" t="n">
        <f aca="false">ROUNDUP(H64*$D$4/B64,0)*C64</f>
        <v>1.8</v>
      </c>
      <c r="N64" s="21" t="str">
        <f aca="false">HYPERLINK("https://item.taobao.com/item.htm?id=1025817117811","打开订单商品")</f>
        <v>打开订单商品</v>
      </c>
      <c r="O64" s="21" t="n">
        <v>158</v>
      </c>
    </row>
    <row r="65" customFormat="false" ht="66" hidden="false" customHeight="true" outlineLevel="0" collapsed="false">
      <c r="A65" s="21" t="s">
        <v>983</v>
      </c>
      <c r="B65" s="21" t="n">
        <v>30</v>
      </c>
      <c r="C65" s="31" t="n">
        <v>1.41</v>
      </c>
      <c r="D65" s="31" t="n">
        <v>1.41</v>
      </c>
      <c r="E65" s="31" t="n">
        <v>1.41</v>
      </c>
      <c r="F65" s="32" t="n">
        <f aca="false">C65/D65*E65/B65</f>
        <v>0.047</v>
      </c>
      <c r="G65" s="26" t="n">
        <f aca="false">SUM(合并采购清单!D47)</f>
        <v>0</v>
      </c>
      <c r="H65" s="26" t="n">
        <f aca="false">SUM(合并采购清单!E47)</f>
        <v>1</v>
      </c>
      <c r="I65" s="25" t="n">
        <f aca="false">F65*G65*$B$4</f>
        <v>0</v>
      </c>
      <c r="J65" s="25" t="n">
        <f aca="false">F65*H65*$D$4</f>
        <v>0.047</v>
      </c>
      <c r="K65" s="25" t="n">
        <f aca="false">ROUNDUP((G65*$B$4+H65*$D$4)/B65,0)*C65</f>
        <v>1.41</v>
      </c>
      <c r="L65" s="25" t="n">
        <f aca="false">ROUNDUP(G65*$B$4/B65,0)*C65</f>
        <v>0</v>
      </c>
      <c r="M65" s="25" t="n">
        <f aca="false">ROUNDUP(H65*$D$4/B65,0)*C65</f>
        <v>1.41</v>
      </c>
      <c r="N65" s="21" t="str">
        <f aca="false">HYPERLINK("https://item.taobao.com/item.htm?id=606816197525","打开订单商品")</f>
        <v>打开订单商品</v>
      </c>
      <c r="O65" s="21" t="n">
        <v>152</v>
      </c>
    </row>
    <row r="66" customFormat="false" ht="66" hidden="false" customHeight="true" outlineLevel="0" collapsed="false">
      <c r="A66" s="21" t="s">
        <v>984</v>
      </c>
      <c r="B66" s="21" t="n">
        <v>100</v>
      </c>
      <c r="C66" s="31" t="n">
        <v>1.46</v>
      </c>
      <c r="D66" s="31" t="n">
        <v>14.56</v>
      </c>
      <c r="E66" s="31" t="n">
        <v>14.56</v>
      </c>
      <c r="F66" s="32" t="n">
        <f aca="false">C66/D66*E66/B66</f>
        <v>0.0146</v>
      </c>
      <c r="G66" s="26" t="n">
        <f aca="false">SUM(合并采购清单!D48)</f>
        <v>0</v>
      </c>
      <c r="H66" s="26" t="n">
        <f aca="false">SUM(合并采购清单!E48)</f>
        <v>1</v>
      </c>
      <c r="I66" s="25" t="n">
        <f aca="false">F66*G66*$B$4</f>
        <v>0</v>
      </c>
      <c r="J66" s="25" t="n">
        <f aca="false">F66*H66*$D$4</f>
        <v>0.0146</v>
      </c>
      <c r="K66" s="25" t="n">
        <f aca="false">ROUNDUP((G66*$B$4+H66*$D$4)/B66,0)*C66</f>
        <v>1.46</v>
      </c>
      <c r="L66" s="25" t="n">
        <f aca="false">ROUNDUP(G66*$B$4/B66,0)*C66</f>
        <v>0</v>
      </c>
      <c r="M66" s="25" t="n">
        <f aca="false">ROUNDUP(H66*$D$4/B66,0)*C66</f>
        <v>1.46</v>
      </c>
      <c r="N66" s="21" t="str">
        <f aca="false">HYPERLINK("https://item.taobao.com/item.htm?id=947267344247","打开订单商品")</f>
        <v>打开订单商品</v>
      </c>
      <c r="O66" s="21" t="n">
        <v>56</v>
      </c>
    </row>
    <row r="67" customFormat="false" ht="66" hidden="false" customHeight="true" outlineLevel="0" collapsed="false">
      <c r="A67" s="21" t="s">
        <v>985</v>
      </c>
      <c r="B67" s="21" t="n">
        <v>100</v>
      </c>
      <c r="C67" s="31" t="n">
        <v>1.46</v>
      </c>
      <c r="D67" s="31" t="n">
        <v>4.34</v>
      </c>
      <c r="E67" s="31" t="n">
        <v>4.34</v>
      </c>
      <c r="F67" s="32" t="n">
        <f aca="false">C67/D67*E67/B67</f>
        <v>0.0146</v>
      </c>
      <c r="G67" s="26" t="n">
        <f aca="false">SUM(合并采购清单!D49)</f>
        <v>0</v>
      </c>
      <c r="H67" s="26" t="n">
        <f aca="false">SUM(合并采购清单!E49)</f>
        <v>1</v>
      </c>
      <c r="I67" s="25" t="n">
        <f aca="false">F67*G67*$B$4</f>
        <v>0</v>
      </c>
      <c r="J67" s="25" t="n">
        <f aca="false">F67*H67*$D$4</f>
        <v>0.0146</v>
      </c>
      <c r="K67" s="25" t="n">
        <f aca="false">ROUNDUP((G67*$B$4+H67*$D$4)/B67,0)*C67</f>
        <v>1.46</v>
      </c>
      <c r="L67" s="25" t="n">
        <f aca="false">ROUNDUP(G67*$B$4/B67,0)*C67</f>
        <v>0</v>
      </c>
      <c r="M67" s="25" t="n">
        <f aca="false">ROUNDUP(H67*$D$4/B67,0)*C67</f>
        <v>1.46</v>
      </c>
      <c r="N67" s="21" t="str">
        <f aca="false">HYPERLINK("https://item.taobao.com/item.htm?id=947267344247","打开订单商品")</f>
        <v>打开订单商品</v>
      </c>
      <c r="O67" s="21" t="n">
        <v>157</v>
      </c>
    </row>
    <row r="68" customFormat="false" ht="66" hidden="false" customHeight="true" outlineLevel="0" collapsed="false">
      <c r="A68" s="21" t="s">
        <v>986</v>
      </c>
      <c r="B68" s="21" t="n">
        <v>100</v>
      </c>
      <c r="C68" s="31" t="n">
        <v>1.44</v>
      </c>
      <c r="D68" s="31" t="n">
        <v>1.44</v>
      </c>
      <c r="E68" s="31" t="n">
        <v>1.44</v>
      </c>
      <c r="F68" s="32" t="n">
        <f aca="false">C68/D68*E68/B68</f>
        <v>0.0144</v>
      </c>
      <c r="G68" s="26" t="n">
        <f aca="false">SUM(合并采购清单!D50)</f>
        <v>0</v>
      </c>
      <c r="H68" s="26" t="n">
        <f aca="false">SUM(合并采购清单!E50)</f>
        <v>1</v>
      </c>
      <c r="I68" s="25" t="n">
        <f aca="false">F68*G68*$B$4</f>
        <v>0</v>
      </c>
      <c r="J68" s="25" t="n">
        <f aca="false">F68*H68*$D$4</f>
        <v>0.0144</v>
      </c>
      <c r="K68" s="25" t="n">
        <f aca="false">ROUNDUP((G68*$B$4+H68*$D$4)/B68,0)*C68</f>
        <v>1.44</v>
      </c>
      <c r="L68" s="25" t="n">
        <f aca="false">ROUNDUP(G68*$B$4/B68,0)*C68</f>
        <v>0</v>
      </c>
      <c r="M68" s="25" t="n">
        <f aca="false">ROUNDUP(H68*$D$4/B68,0)*C68</f>
        <v>1.44</v>
      </c>
      <c r="N68" s="21" t="str">
        <f aca="false">HYPERLINK("https://item.taobao.com/item.htm?id=947267344247","打开订单商品")</f>
        <v>打开订单商品</v>
      </c>
      <c r="O68" s="21" t="n">
        <v>213</v>
      </c>
    </row>
    <row r="69" customFormat="false" ht="66" hidden="false" customHeight="true" outlineLevel="0" collapsed="false">
      <c r="A69" s="21" t="s">
        <v>987</v>
      </c>
      <c r="B69" s="21" t="n">
        <v>1</v>
      </c>
      <c r="C69" s="31" t="n">
        <v>4.83</v>
      </c>
      <c r="D69" s="31" t="n">
        <v>34.8</v>
      </c>
      <c r="E69" s="31" t="n">
        <v>35.79</v>
      </c>
      <c r="F69" s="32" t="n">
        <f aca="false">C69/D69*E69/B69</f>
        <v>4.96740517241379</v>
      </c>
      <c r="G69" s="26" t="n">
        <f aca="false">SUM(合并采购清单!D51)</f>
        <v>0</v>
      </c>
      <c r="H69" s="26" t="n">
        <f aca="false">SUM(合并采购清单!E51)</f>
        <v>1</v>
      </c>
      <c r="I69" s="25" t="n">
        <f aca="false">F69*G69*$B$4</f>
        <v>0</v>
      </c>
      <c r="J69" s="25" t="n">
        <f aca="false">F69*H69*$D$4</f>
        <v>4.96740517241379</v>
      </c>
      <c r="K69" s="25" t="n">
        <f aca="false">ROUNDUP((G69*$B$4+H69*$D$4)/B69,0)*C69</f>
        <v>4.83</v>
      </c>
      <c r="L69" s="25" t="n">
        <f aca="false">ROUNDUP(G69*$B$4/B69,0)*C69</f>
        <v>0</v>
      </c>
      <c r="M69" s="25" t="n">
        <f aca="false">ROUNDUP(H69*$D$4/B69,0)*C69</f>
        <v>4.83</v>
      </c>
      <c r="N69" s="21" t="str">
        <f aca="false">HYPERLINK("https://item.taobao.com/item.htm?id=726808419708","打开订单商品")</f>
        <v>打开订单商品</v>
      </c>
      <c r="O69" s="21" t="n">
        <v>150</v>
      </c>
    </row>
    <row r="70" customFormat="false" ht="66" hidden="false" customHeight="true" outlineLevel="0" collapsed="false">
      <c r="A70" s="21" t="s">
        <v>988</v>
      </c>
      <c r="B70" s="21" t="n">
        <v>1</v>
      </c>
      <c r="C70" s="31" t="n">
        <v>5.75</v>
      </c>
      <c r="D70" s="31" t="n">
        <v>11.5</v>
      </c>
      <c r="E70" s="31" t="n">
        <v>11.5</v>
      </c>
      <c r="F70" s="32" t="n">
        <f aca="false">C70/D70*E70/B70</f>
        <v>5.75</v>
      </c>
      <c r="G70" s="26" t="n">
        <f aca="false">SUM(合并采购清单!D52)</f>
        <v>0</v>
      </c>
      <c r="H70" s="26" t="n">
        <f aca="false">SUM(合并采购清单!E52)</f>
        <v>1</v>
      </c>
      <c r="I70" s="25" t="n">
        <f aca="false">F70*G70*$B$4</f>
        <v>0</v>
      </c>
      <c r="J70" s="25" t="n">
        <f aca="false">F70*H70*$D$4</f>
        <v>5.75</v>
      </c>
      <c r="K70" s="25" t="n">
        <f aca="false">ROUNDUP((G70*$B$4+H70*$D$4)/B70,0)*C70</f>
        <v>5.75</v>
      </c>
      <c r="L70" s="25" t="n">
        <f aca="false">ROUNDUP(G70*$B$4/B70,0)*C70</f>
        <v>0</v>
      </c>
      <c r="M70" s="25" t="n">
        <f aca="false">ROUNDUP(H70*$D$4/B70,0)*C70</f>
        <v>5.75</v>
      </c>
      <c r="N70" s="21" t="str">
        <f aca="false">HYPERLINK("https://item.taobao.com/item.htm?id=640391703111","打开订单商品")</f>
        <v>打开订单商品</v>
      </c>
      <c r="O70" s="21" t="n">
        <v>91</v>
      </c>
    </row>
    <row r="71" customFormat="false" ht="66" hidden="false" customHeight="true" outlineLevel="0" collapsed="false">
      <c r="A71" s="21" t="s">
        <v>989</v>
      </c>
      <c r="B71" s="21" t="n">
        <v>1</v>
      </c>
      <c r="C71" s="31" t="n">
        <v>0.47</v>
      </c>
      <c r="D71" s="31" t="n">
        <v>4.7</v>
      </c>
      <c r="E71" s="31" t="n">
        <v>4.7</v>
      </c>
      <c r="F71" s="32" t="n">
        <f aca="false">C71/D71*E71/B71</f>
        <v>0.47</v>
      </c>
      <c r="G71" s="26" t="n">
        <f aca="false">SUM(合并采购清单!D53)</f>
        <v>0</v>
      </c>
      <c r="H71" s="26" t="n">
        <f aca="false">SUM(合并采购清单!E53)</f>
        <v>1</v>
      </c>
      <c r="I71" s="25" t="n">
        <f aca="false">F71*G71*$B$4</f>
        <v>0</v>
      </c>
      <c r="J71" s="25" t="n">
        <f aca="false">F71*H71*$D$4</f>
        <v>0.47</v>
      </c>
      <c r="K71" s="25" t="n">
        <f aca="false">ROUNDUP((G71*$B$4+H71*$D$4)/B71,0)*C71</f>
        <v>0.47</v>
      </c>
      <c r="L71" s="25" t="n">
        <f aca="false">ROUNDUP(G71*$B$4/B71,0)*C71</f>
        <v>0</v>
      </c>
      <c r="M71" s="25" t="n">
        <f aca="false">ROUNDUP(H71*$D$4/B71,0)*C71</f>
        <v>0.47</v>
      </c>
      <c r="N71" s="21" t="str">
        <f aca="false">HYPERLINK("https://item.taobao.com/item.htm?id=747094785928","打开订单商品")</f>
        <v>打开订单商品</v>
      </c>
      <c r="O71" s="21" t="n">
        <v>162</v>
      </c>
    </row>
    <row r="72" customFormat="false" ht="66" hidden="false" customHeight="true" outlineLevel="0" collapsed="false">
      <c r="A72" s="21" t="s">
        <v>990</v>
      </c>
      <c r="B72" s="21" t="n">
        <v>1</v>
      </c>
      <c r="C72" s="31" t="n">
        <v>0.43</v>
      </c>
      <c r="D72" s="31" t="n">
        <v>4.3</v>
      </c>
      <c r="E72" s="31" t="n">
        <v>4.78</v>
      </c>
      <c r="F72" s="32" t="n">
        <f aca="false">C72/D72*E72/B72</f>
        <v>0.478</v>
      </c>
      <c r="G72" s="26" t="n">
        <f aca="false">SUM(合并采购清单!D54)</f>
        <v>0</v>
      </c>
      <c r="H72" s="26" t="n">
        <f aca="false">SUM(合并采购清单!E54)</f>
        <v>1</v>
      </c>
      <c r="I72" s="25" t="n">
        <f aca="false">F72*G72*$B$4</f>
        <v>0</v>
      </c>
      <c r="J72" s="25" t="n">
        <f aca="false">F72*H72*$D$4</f>
        <v>0.478</v>
      </c>
      <c r="K72" s="25" t="n">
        <f aca="false">ROUNDUP((G72*$B$4+H72*$D$4)/B72,0)*C72</f>
        <v>0.43</v>
      </c>
      <c r="L72" s="25" t="n">
        <f aca="false">ROUNDUP(G72*$B$4/B72,0)*C72</f>
        <v>0</v>
      </c>
      <c r="M72" s="25" t="n">
        <f aca="false">ROUNDUP(H72*$D$4/B72,0)*C72</f>
        <v>0.43</v>
      </c>
      <c r="N72" s="21" t="str">
        <f aca="false">HYPERLINK("https://item.taobao.com/item.htm?id=705642638300","打开订单商品")</f>
        <v>打开订单商品</v>
      </c>
      <c r="O72" s="21" t="n">
        <v>161</v>
      </c>
    </row>
  </sheetData>
  <mergeCells count="4">
    <mergeCell ref="A2:D2"/>
    <mergeCell ref="A3:D3"/>
    <mergeCell ref="A21:D21"/>
    <mergeCell ref="A26:O26"/>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tabColor rgb="FF233653"/>
    <pageSetUpPr fitToPage="false"/>
  </sheetPr>
  <dimension ref="A1:H42"/>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pane xSplit="0" ySplit="10" topLeftCell="A11" activePane="bottomLeft" state="frozen"/>
      <selection pane="topLeft" activeCell="A1" activeCellId="0" sqref="A1"/>
      <selection pane="bottomLeft" activeCell="A1" activeCellId="0" sqref="A1"/>
    </sheetView>
  </sheetViews>
  <sheetFormatPr defaultColWidth="8.6796875" defaultRowHeight="15" customHeight="false" zeroHeight="false" outlineLevelRow="0" outlineLevelCol="0"/>
  <cols>
    <col collapsed="false" customWidth="true" hidden="false" outlineLevel="0" max="1" min="1" style="0" width="33"/>
    <col collapsed="false" customWidth="true" hidden="false" outlineLevel="0" max="2" min="2" style="0" width="58"/>
    <col collapsed="false" customWidth="true" hidden="false" outlineLevel="0" max="3" min="3" style="0" width="21"/>
    <col collapsed="false" customWidth="true" hidden="false" outlineLevel="0" max="4" min="4" style="0" width="17"/>
    <col collapsed="false" customWidth="true" hidden="false" outlineLevel="0" max="5" min="5" style="0" width="21"/>
    <col collapsed="false" customWidth="true" hidden="false" outlineLevel="0" max="6" min="6" style="0" width="23"/>
    <col collapsed="false" customWidth="true" hidden="false" outlineLevel="0" max="7" min="7" style="0" width="62"/>
    <col collapsed="false" customWidth="true" hidden="false" outlineLevel="0" max="8" min="8" style="0" width="21"/>
  </cols>
  <sheetData>
    <row r="1" customFormat="false" ht="15" hidden="false" customHeight="false" outlineLevel="0" collapsed="false">
      <c r="A1" s="33"/>
      <c r="B1" s="33"/>
      <c r="C1" s="33"/>
      <c r="D1" s="33"/>
      <c r="E1" s="33"/>
      <c r="F1" s="33"/>
      <c r="G1" s="33"/>
      <c r="H1" s="33"/>
    </row>
    <row r="2" customFormat="false" ht="27.6" hidden="false" customHeight="true" outlineLevel="0" collapsed="false">
      <c r="A2" s="34" t="s">
        <v>991</v>
      </c>
      <c r="B2" s="34"/>
      <c r="C2" s="34"/>
      <c r="D2" s="34"/>
      <c r="E2" s="34"/>
      <c r="F2" s="34"/>
      <c r="G2" s="33"/>
      <c r="H2" s="33"/>
    </row>
    <row r="3" customFormat="false" ht="40" hidden="false" customHeight="true" outlineLevel="0" collapsed="false">
      <c r="A3" s="33" t="s">
        <v>992</v>
      </c>
      <c r="B3" s="33"/>
      <c r="C3" s="33"/>
      <c r="D3" s="33"/>
      <c r="E3" s="33"/>
      <c r="F3" s="33"/>
      <c r="G3" s="33"/>
      <c r="H3" s="33"/>
    </row>
    <row r="4" customFormat="false" ht="32" hidden="false" customHeight="true" outlineLevel="0" collapsed="false">
      <c r="A4" s="35" t="s">
        <v>993</v>
      </c>
      <c r="B4" s="36" t="n">
        <f aca="false">SUM(F11:F35)</f>
        <v>2234.48853676336</v>
      </c>
      <c r="C4" s="33"/>
      <c r="D4" s="33"/>
      <c r="E4" s="33"/>
      <c r="F4" s="33"/>
      <c r="G4" s="33"/>
      <c r="H4" s="33"/>
    </row>
    <row r="5" customFormat="false" ht="32" hidden="false" customHeight="true" outlineLevel="0" collapsed="false">
      <c r="A5" s="35" t="s">
        <v>994</v>
      </c>
      <c r="B5" s="36" t="n">
        <f aca="false">B4+(D11+D12)*制作成本!$B$5/制作成本!$D$5</f>
        <v>2242.48853676336</v>
      </c>
      <c r="C5" s="33"/>
      <c r="D5" s="33"/>
      <c r="E5" s="33"/>
      <c r="F5" s="33"/>
      <c r="G5" s="33"/>
      <c r="H5" s="33"/>
    </row>
    <row r="6" customFormat="false" ht="32" hidden="false" customHeight="true" outlineLevel="0" collapsed="false">
      <c r="A6" s="35" t="s">
        <v>995</v>
      </c>
      <c r="B6" s="36" t="n">
        <f aca="false">B4-F11-F12+制作成本!D16</f>
        <v>2291.6</v>
      </c>
      <c r="C6" s="33"/>
      <c r="D6" s="33"/>
      <c r="E6" s="33"/>
      <c r="F6" s="33"/>
      <c r="G6" s="33"/>
      <c r="H6" s="33"/>
    </row>
    <row r="7" customFormat="false" ht="32" hidden="false" customHeight="true" outlineLevel="0" collapsed="false">
      <c r="A7" s="35" t="s">
        <v>996</v>
      </c>
      <c r="B7" s="36" t="n">
        <f aca="false">B6+ROUNDUP(D11/制作成本!$D$5,0)*制作成本!$B$5+ROUNDUP(D12/制作成本!$D$5,0)*制作成本!$B$5</f>
        <v>2331.6</v>
      </c>
      <c r="C7" s="33"/>
      <c r="D7" s="33"/>
      <c r="E7" s="33"/>
      <c r="F7" s="33"/>
      <c r="G7" s="33"/>
      <c r="H7" s="33"/>
    </row>
    <row r="8" customFormat="false" ht="15" hidden="false" customHeight="false" outlineLevel="0" collapsed="false">
      <c r="A8" s="33"/>
      <c r="B8" s="33"/>
      <c r="C8" s="33"/>
      <c r="D8" s="33"/>
      <c r="E8" s="33"/>
      <c r="F8" s="33"/>
      <c r="G8" s="33"/>
      <c r="H8" s="33"/>
    </row>
    <row r="9" customFormat="false" ht="34" hidden="false" customHeight="true" outlineLevel="0" collapsed="false">
      <c r="A9" s="33" t="s">
        <v>997</v>
      </c>
      <c r="B9" s="33"/>
      <c r="C9" s="33"/>
      <c r="D9" s="33"/>
      <c r="E9" s="33"/>
      <c r="F9" s="33"/>
      <c r="G9" s="33"/>
      <c r="H9" s="33"/>
    </row>
    <row r="10" customFormat="false" ht="40" hidden="false" customHeight="true" outlineLevel="0" collapsed="false">
      <c r="A10" s="37" t="s">
        <v>998</v>
      </c>
      <c r="B10" s="37" t="s">
        <v>935</v>
      </c>
      <c r="C10" s="37" t="s">
        <v>999</v>
      </c>
      <c r="D10" s="37" t="s">
        <v>1000</v>
      </c>
      <c r="E10" s="37" t="s">
        <v>1001</v>
      </c>
      <c r="F10" s="37" t="s">
        <v>1002</v>
      </c>
      <c r="G10" s="37" t="s">
        <v>1003</v>
      </c>
      <c r="H10" s="37" t="s">
        <v>1004</v>
      </c>
    </row>
    <row r="11" customFormat="false" ht="78" hidden="false" customHeight="true" outlineLevel="0" collapsed="false">
      <c r="A11" s="33" t="s">
        <v>1005</v>
      </c>
      <c r="B11" s="33" t="s">
        <v>1006</v>
      </c>
      <c r="C11" s="33" t="s">
        <v>1007</v>
      </c>
      <c r="D11" s="38" t="n">
        <f aca="false">合并采购清单!B4</f>
        <v>1</v>
      </c>
      <c r="E11" s="39" t="n">
        <f aca="false">SUMPRODUCT(制作成本!F29:F72,制作成本!G29:G72)</f>
        <v>16.7249050849176</v>
      </c>
      <c r="F11" s="40" t="n">
        <f aca="false">D11*E11</f>
        <v>16.7249050849176</v>
      </c>
      <c r="G11" s="33" t="s">
        <v>1008</v>
      </c>
      <c r="H11" s="41" t="str">
        <f aca="false">HYPERLINK("https://github.com/kissqy/Microduck-kissqy/blob/main/hardware/README.md#完整位号bom","查看完整BOM")</f>
        <v>查看完整BOM</v>
      </c>
    </row>
    <row r="12" customFormat="false" ht="78" hidden="false" customHeight="true" outlineLevel="0" collapsed="false">
      <c r="A12" s="33" t="s">
        <v>1009</v>
      </c>
      <c r="B12" s="33" t="s">
        <v>1010</v>
      </c>
      <c r="C12" s="33" t="s">
        <v>1007</v>
      </c>
      <c r="D12" s="38" t="n">
        <f aca="false">合并采购清单!D4</f>
        <v>1</v>
      </c>
      <c r="E12" s="39" t="n">
        <f aca="false">SUMPRODUCT(制作成本!F29:F72,制作成本!H29:H72)</f>
        <v>12.3336316784379</v>
      </c>
      <c r="F12" s="40" t="n">
        <f aca="false">D12*E12</f>
        <v>12.3336316784379</v>
      </c>
      <c r="G12" s="33" t="s">
        <v>1008</v>
      </c>
      <c r="H12" s="41" t="str">
        <f aca="false">HYPERLINK("https://github.com/kissqy/Microduck-kissqy/blob/main/hardware/README.md#完整位号bom","查看完整BOM")</f>
        <v>查看完整BOM</v>
      </c>
    </row>
    <row r="13" customFormat="false" ht="78" hidden="false" customHeight="true" outlineLevel="0" collapsed="false">
      <c r="A13" s="33" t="s">
        <v>610</v>
      </c>
      <c r="B13" s="33" t="s">
        <v>1011</v>
      </c>
      <c r="C13" s="33" t="s">
        <v>1012</v>
      </c>
      <c r="D13" s="42" t="n">
        <v>15</v>
      </c>
      <c r="E13" s="39" t="n">
        <f aca="false">配件与耗材!K16</f>
        <v>99</v>
      </c>
      <c r="F13" s="40" t="n">
        <f aca="false">D13*E13</f>
        <v>1485</v>
      </c>
      <c r="G13" s="33" t="s">
        <v>614</v>
      </c>
      <c r="H13" s="41" t="str">
        <f aca="false">HYPERLINK("https://item.taobao.com/item.htm?id=1078248851201","打开订单商品")</f>
        <v>打开订单商品</v>
      </c>
    </row>
    <row r="14" customFormat="false" ht="78" hidden="false" customHeight="true" outlineLevel="0" collapsed="false">
      <c r="A14" s="33" t="s">
        <v>603</v>
      </c>
      <c r="B14" s="33" t="s">
        <v>1013</v>
      </c>
      <c r="C14" s="33" t="s">
        <v>1014</v>
      </c>
      <c r="D14" s="42" t="n">
        <v>1</v>
      </c>
      <c r="E14" s="39" t="n">
        <f aca="false">配件与耗材!K15</f>
        <v>309</v>
      </c>
      <c r="F14" s="40" t="n">
        <f aca="false">D14*E14</f>
        <v>309</v>
      </c>
      <c r="G14" s="33" t="s">
        <v>608</v>
      </c>
      <c r="H14" s="41" t="str">
        <f aca="false">HYPERLINK("https://item.taobao.com/item.htm?id=763812025816","打开订单商品")</f>
        <v>打开订单商品</v>
      </c>
    </row>
    <row r="15" customFormat="false" ht="78" hidden="false" customHeight="true" outlineLevel="0" collapsed="false">
      <c r="A15" s="33" t="s">
        <v>622</v>
      </c>
      <c r="B15" s="33" t="s">
        <v>1015</v>
      </c>
      <c r="C15" s="33" t="s">
        <v>1016</v>
      </c>
      <c r="D15" s="42" t="n">
        <v>1</v>
      </c>
      <c r="E15" s="39" t="n">
        <f aca="false">配件与耗材!K18</f>
        <v>84.59</v>
      </c>
      <c r="F15" s="40" t="n">
        <f aca="false">D15*E15</f>
        <v>84.59</v>
      </c>
      <c r="G15" s="33" t="s">
        <v>627</v>
      </c>
      <c r="H15" s="41" t="str">
        <f aca="false">HYPERLINK("https://item.taobao.com/item.htm?id=585415365001","打开订单商品")</f>
        <v>打开订单商品</v>
      </c>
    </row>
    <row r="16" customFormat="false" ht="78" hidden="false" customHeight="true" outlineLevel="0" collapsed="false">
      <c r="A16" s="33" t="s">
        <v>616</v>
      </c>
      <c r="B16" s="33" t="s">
        <v>1017</v>
      </c>
      <c r="C16" s="33" t="s">
        <v>1014</v>
      </c>
      <c r="D16" s="42" t="n">
        <v>1</v>
      </c>
      <c r="E16" s="39" t="n">
        <f aca="false">配件与耗材!K17</f>
        <v>129.99</v>
      </c>
      <c r="F16" s="40" t="n">
        <f aca="false">D16*E16</f>
        <v>129.99</v>
      </c>
      <c r="G16" s="33" t="s">
        <v>620</v>
      </c>
      <c r="H16" s="41" t="str">
        <f aca="false">HYPERLINK("https://item.taobao.com/item.htm?id=768918125679","打开订单商品")</f>
        <v>打开订单商品</v>
      </c>
    </row>
    <row r="17" customFormat="false" ht="78" hidden="false" customHeight="true" outlineLevel="0" collapsed="false">
      <c r="A17" s="33" t="s">
        <v>596</v>
      </c>
      <c r="B17" s="33" t="s">
        <v>1018</v>
      </c>
      <c r="C17" s="33" t="s">
        <v>1014</v>
      </c>
      <c r="D17" s="42" t="n">
        <v>1</v>
      </c>
      <c r="E17" s="39" t="n">
        <f aca="false">配件与耗材!K14</f>
        <v>49.5</v>
      </c>
      <c r="F17" s="40" t="n">
        <f aca="false">D17*E17</f>
        <v>49.5</v>
      </c>
      <c r="G17" s="33" t="s">
        <v>601</v>
      </c>
      <c r="H17" s="41" t="str">
        <f aca="false">HYPERLINK("https://item.taobao.com/item.htm?id=737603917521","打开订单商品")</f>
        <v>打开订单商品</v>
      </c>
    </row>
    <row r="18" customFormat="false" ht="78" hidden="false" customHeight="true" outlineLevel="0" collapsed="false">
      <c r="A18" s="33" t="s">
        <v>591</v>
      </c>
      <c r="B18" s="33" t="s">
        <v>1019</v>
      </c>
      <c r="C18" s="33" t="s">
        <v>1014</v>
      </c>
      <c r="D18" s="42" t="n">
        <v>1</v>
      </c>
      <c r="E18" s="39" t="n">
        <f aca="false">配件与耗材!K13</f>
        <v>3.08</v>
      </c>
      <c r="F18" s="40" t="n">
        <f aca="false">D18*E18</f>
        <v>3.08</v>
      </c>
      <c r="G18" s="33" t="s">
        <v>595</v>
      </c>
      <c r="H18" s="41" t="str">
        <f aca="false">HYPERLINK("https://item.taobao.com/item.htm?id=683920556900","打开订单商品")</f>
        <v>打开订单商品</v>
      </c>
    </row>
    <row r="19" customFormat="false" ht="78" hidden="false" customHeight="true" outlineLevel="0" collapsed="false">
      <c r="A19" s="33" t="s">
        <v>660</v>
      </c>
      <c r="B19" s="33" t="s">
        <v>1020</v>
      </c>
      <c r="C19" s="33" t="s">
        <v>1012</v>
      </c>
      <c r="D19" s="42" t="n">
        <v>5</v>
      </c>
      <c r="E19" s="39" t="n">
        <f aca="false">配件与耗材!K24</f>
        <v>1.94</v>
      </c>
      <c r="F19" s="40" t="n">
        <f aca="false">D19*E19</f>
        <v>9.7</v>
      </c>
      <c r="G19" s="33" t="s">
        <v>1021</v>
      </c>
      <c r="H19" s="41" t="str">
        <f aca="false">HYPERLINK("https://item.taobao.com/item.htm?id=625390659071","打开订单商品")</f>
        <v>打开订单商品</v>
      </c>
    </row>
    <row r="20" customFormat="false" ht="78" hidden="false" customHeight="true" outlineLevel="0" collapsed="false">
      <c r="A20" s="33" t="s">
        <v>666</v>
      </c>
      <c r="B20" s="33" t="s">
        <v>1022</v>
      </c>
      <c r="C20" s="33" t="s">
        <v>1012</v>
      </c>
      <c r="D20" s="42" t="n">
        <v>12</v>
      </c>
      <c r="E20" s="39" t="n">
        <f aca="false">配件与耗材!K25</f>
        <v>2.91</v>
      </c>
      <c r="F20" s="40" t="n">
        <f aca="false">D20*E20</f>
        <v>34.92</v>
      </c>
      <c r="G20" s="33" t="s">
        <v>1023</v>
      </c>
      <c r="H20" s="41" t="str">
        <f aca="false">HYPERLINK("https://item.taobao.com/item.htm?id=733598659967","打开订单商品")</f>
        <v>打开订单商品</v>
      </c>
    </row>
    <row r="21" customFormat="false" ht="78" hidden="false" customHeight="true" outlineLevel="0" collapsed="false">
      <c r="A21" s="33" t="s">
        <v>672</v>
      </c>
      <c r="B21" s="33" t="s">
        <v>1024</v>
      </c>
      <c r="C21" s="33" t="s">
        <v>1025</v>
      </c>
      <c r="D21" s="42" t="n">
        <v>1</v>
      </c>
      <c r="E21" s="39" t="n">
        <f aca="false">配件与耗材!K26</f>
        <v>3.03</v>
      </c>
      <c r="F21" s="40" t="n">
        <f aca="false">D21*E21</f>
        <v>3.03</v>
      </c>
      <c r="G21" s="33" t="s">
        <v>1026</v>
      </c>
      <c r="H21" s="41" t="str">
        <f aca="false">HYPERLINK("https://item.taobao.com/item.htm?id=534923831046","打开订单商品")</f>
        <v>打开订单商品</v>
      </c>
    </row>
    <row r="22" customFormat="false" ht="78" hidden="false" customHeight="true" outlineLevel="0" collapsed="false">
      <c r="A22" s="33" t="s">
        <v>678</v>
      </c>
      <c r="B22" s="33" t="s">
        <v>1027</v>
      </c>
      <c r="C22" s="33" t="s">
        <v>1025</v>
      </c>
      <c r="D22" s="42" t="n">
        <v>1</v>
      </c>
      <c r="E22" s="39" t="n">
        <f aca="false">配件与耗材!K27</f>
        <v>0</v>
      </c>
      <c r="F22" s="40" t="n">
        <f aca="false">D22*E22</f>
        <v>0</v>
      </c>
      <c r="G22" s="33" t="s">
        <v>1028</v>
      </c>
      <c r="H22" s="41" t="str">
        <f aca="false">HYPERLINK("https://item.taobao.com/item.htm?id=534923831046","打开订单商品")</f>
        <v>打开订单商品</v>
      </c>
    </row>
    <row r="23" customFormat="false" ht="78" hidden="false" customHeight="true" outlineLevel="0" collapsed="false">
      <c r="A23" s="33" t="s">
        <v>682</v>
      </c>
      <c r="B23" s="33" t="s">
        <v>1029</v>
      </c>
      <c r="C23" s="33" t="s">
        <v>1025</v>
      </c>
      <c r="D23" s="42" t="n">
        <v>1</v>
      </c>
      <c r="E23" s="39" t="n">
        <f aca="false">配件与耗材!K28</f>
        <v>3.31</v>
      </c>
      <c r="F23" s="40" t="n">
        <f aca="false">D23*E23</f>
        <v>3.31</v>
      </c>
      <c r="G23" s="33" t="s">
        <v>1026</v>
      </c>
      <c r="H23" s="41" t="str">
        <f aca="false">HYPERLINK("https://item.taobao.com/item.htm?id=534923831046","打开订单商品")</f>
        <v>打开订单商品</v>
      </c>
    </row>
    <row r="24" customFormat="false" ht="78" hidden="false" customHeight="true" outlineLevel="0" collapsed="false">
      <c r="A24" s="33" t="s">
        <v>685</v>
      </c>
      <c r="B24" s="33" t="s">
        <v>1030</v>
      </c>
      <c r="C24" s="33" t="s">
        <v>1025</v>
      </c>
      <c r="D24" s="42" t="n">
        <v>1</v>
      </c>
      <c r="E24" s="39" t="n">
        <f aca="false">配件与耗材!K29</f>
        <v>3.59</v>
      </c>
      <c r="F24" s="40" t="n">
        <f aca="false">D24*E24</f>
        <v>3.59</v>
      </c>
      <c r="G24" s="33" t="s">
        <v>1026</v>
      </c>
      <c r="H24" s="41" t="str">
        <f aca="false">HYPERLINK("https://item.taobao.com/item.htm?id=534923831046","打开订单商品")</f>
        <v>打开订单商品</v>
      </c>
    </row>
    <row r="25" customFormat="false" ht="78" hidden="false" customHeight="true" outlineLevel="0" collapsed="false">
      <c r="A25" s="33" t="s">
        <v>688</v>
      </c>
      <c r="B25" s="33" t="s">
        <v>1031</v>
      </c>
      <c r="C25" s="33" t="s">
        <v>1025</v>
      </c>
      <c r="D25" s="42" t="n">
        <v>1</v>
      </c>
      <c r="E25" s="39" t="n">
        <f aca="false">配件与耗材!K30</f>
        <v>3.88</v>
      </c>
      <c r="F25" s="40" t="n">
        <f aca="false">D25*E25</f>
        <v>3.88</v>
      </c>
      <c r="G25" s="33" t="s">
        <v>1026</v>
      </c>
      <c r="H25" s="41" t="str">
        <f aca="false">HYPERLINK("https://item.taobao.com/item.htm?id=534923831046","打开订单商品")</f>
        <v>打开订单商品</v>
      </c>
    </row>
    <row r="26" customFormat="false" ht="78" hidden="false" customHeight="true" outlineLevel="0" collapsed="false">
      <c r="A26" s="33" t="s">
        <v>691</v>
      </c>
      <c r="B26" s="33" t="s">
        <v>1032</v>
      </c>
      <c r="C26" s="33" t="s">
        <v>1025</v>
      </c>
      <c r="D26" s="42" t="n">
        <v>1</v>
      </c>
      <c r="E26" s="39" t="n">
        <f aca="false">配件与耗材!K31</f>
        <v>3.59</v>
      </c>
      <c r="F26" s="40" t="n">
        <f aca="false">D26*E26</f>
        <v>3.59</v>
      </c>
      <c r="G26" s="33" t="s">
        <v>1026</v>
      </c>
      <c r="H26" s="41" t="str">
        <f aca="false">HYPERLINK("https://item.taobao.com/item.htm?id=534923831046","打开订单商品")</f>
        <v>打开订单商品</v>
      </c>
    </row>
    <row r="27" customFormat="false" ht="78" hidden="false" customHeight="true" outlineLevel="0" collapsed="false">
      <c r="A27" s="33" t="s">
        <v>569</v>
      </c>
      <c r="B27" s="33" t="s">
        <v>1033</v>
      </c>
      <c r="C27" s="33" t="s">
        <v>1034</v>
      </c>
      <c r="D27" s="42" t="n">
        <v>1</v>
      </c>
      <c r="E27" s="39" t="n">
        <f aca="false">配件与耗材!K9</f>
        <v>2.2</v>
      </c>
      <c r="F27" s="40" t="n">
        <f aca="false">D27*E27</f>
        <v>2.2</v>
      </c>
      <c r="G27" s="33" t="s">
        <v>573</v>
      </c>
      <c r="H27" s="41" t="str">
        <f aca="false">HYPERLINK("https://item.taobao.com/item.htm?id=832569969546","打开订单商品")</f>
        <v>打开订单商品</v>
      </c>
    </row>
    <row r="28" customFormat="false" ht="78" hidden="false" customHeight="true" outlineLevel="0" collapsed="false">
      <c r="A28" s="33" t="s">
        <v>574</v>
      </c>
      <c r="B28" s="33" t="s">
        <v>1035</v>
      </c>
      <c r="C28" s="33" t="s">
        <v>1034</v>
      </c>
      <c r="D28" s="42" t="n">
        <v>1</v>
      </c>
      <c r="E28" s="39" t="n">
        <f aca="false">配件与耗材!K10</f>
        <v>2.8</v>
      </c>
      <c r="F28" s="40" t="n">
        <f aca="false">D28*E28</f>
        <v>2.8</v>
      </c>
      <c r="G28" s="33" t="s">
        <v>578</v>
      </c>
      <c r="H28" s="41" t="str">
        <f aca="false">HYPERLINK("https://item.taobao.com/item.htm?id=832569969546","打开订单商品")</f>
        <v>打开订单商品</v>
      </c>
    </row>
    <row r="29" customFormat="false" ht="78" hidden="false" customHeight="true" outlineLevel="0" collapsed="false">
      <c r="A29" s="33" t="s">
        <v>579</v>
      </c>
      <c r="B29" s="33" t="s">
        <v>1036</v>
      </c>
      <c r="C29" s="33" t="s">
        <v>1037</v>
      </c>
      <c r="D29" s="42" t="n">
        <v>1</v>
      </c>
      <c r="E29" s="39" t="n">
        <f aca="false">配件与耗材!K11</f>
        <v>3.5</v>
      </c>
      <c r="F29" s="40" t="n">
        <f aca="false">D29*E29</f>
        <v>3.5</v>
      </c>
      <c r="G29" s="33" t="s">
        <v>583</v>
      </c>
      <c r="H29" s="41" t="str">
        <f aca="false">HYPERLINK("https://item.taobao.com/item.htm?id=832569969546","打开订单商品")</f>
        <v>打开订单商品</v>
      </c>
    </row>
    <row r="30" customFormat="false" ht="78" hidden="false" customHeight="true" outlineLevel="0" collapsed="false">
      <c r="A30" s="33" t="s">
        <v>585</v>
      </c>
      <c r="B30" s="33" t="s">
        <v>1038</v>
      </c>
      <c r="C30" s="33" t="s">
        <v>1039</v>
      </c>
      <c r="D30" s="42" t="n">
        <v>1</v>
      </c>
      <c r="E30" s="39" t="n">
        <f aca="false">配件与耗材!K12</f>
        <v>4.56</v>
      </c>
      <c r="F30" s="40" t="n">
        <f aca="false">D30*E30</f>
        <v>4.56</v>
      </c>
      <c r="G30" s="33" t="s">
        <v>589</v>
      </c>
      <c r="H30" s="41" t="str">
        <f aca="false">HYPERLINK("https://item.taobao.com/item.htm?id=895049863252","打开订单商品")</f>
        <v>打开订单商品</v>
      </c>
    </row>
    <row r="31" customFormat="false" ht="78" hidden="false" customHeight="true" outlineLevel="0" collapsed="false">
      <c r="A31" s="33" t="s">
        <v>629</v>
      </c>
      <c r="B31" s="33" t="s">
        <v>1040</v>
      </c>
      <c r="C31" s="33" t="s">
        <v>1041</v>
      </c>
      <c r="D31" s="42" t="n">
        <v>30</v>
      </c>
      <c r="E31" s="39" t="n">
        <f aca="false">配件与耗材!K19</f>
        <v>0.9</v>
      </c>
      <c r="F31" s="40" t="n">
        <f aca="false">D31*E31</f>
        <v>27</v>
      </c>
      <c r="G31" s="33" t="s">
        <v>1042</v>
      </c>
      <c r="H31" s="41" t="str">
        <f aca="false">HYPERLINK("https://item.taobao.com/item.htm?id=825340808235","打开订单商品")</f>
        <v>打开订单商品</v>
      </c>
    </row>
    <row r="32" customFormat="false" ht="78" hidden="false" customHeight="true" outlineLevel="0" collapsed="false">
      <c r="A32" s="33" t="s">
        <v>635</v>
      </c>
      <c r="B32" s="33" t="s">
        <v>1043</v>
      </c>
      <c r="C32" s="33" t="s">
        <v>1041</v>
      </c>
      <c r="D32" s="42" t="n">
        <v>30</v>
      </c>
      <c r="E32" s="39" t="n">
        <f aca="false">配件与耗材!K20</f>
        <v>0.9</v>
      </c>
      <c r="F32" s="40" t="n">
        <f aca="false">D32*E32</f>
        <v>27</v>
      </c>
      <c r="G32" s="33" t="s">
        <v>1044</v>
      </c>
      <c r="H32" s="41" t="str">
        <f aca="false">HYPERLINK("https://item.taobao.com/item.htm?id=825340808235","打开订单商品")</f>
        <v>打开订单商品</v>
      </c>
    </row>
    <row r="33" customFormat="false" ht="78" hidden="false" customHeight="true" outlineLevel="0" collapsed="false">
      <c r="A33" s="33" t="s">
        <v>640</v>
      </c>
      <c r="B33" s="33" t="s">
        <v>1045</v>
      </c>
      <c r="C33" s="33" t="s">
        <v>1046</v>
      </c>
      <c r="D33" s="42" t="n">
        <v>3</v>
      </c>
      <c r="E33" s="43" t="n">
        <f aca="false">(订单匹配依据!G88*订单匹配依据!H88+订单匹配依据!G89*订单匹配依据!H89)/(订单匹配依据!G88+订单匹配依据!G89)</f>
        <v>3.59333333333333</v>
      </c>
      <c r="F33" s="40" t="n">
        <f aca="false">D33*E33</f>
        <v>10.78</v>
      </c>
      <c r="G33" s="33" t="s">
        <v>1047</v>
      </c>
      <c r="H33" s="41" t="str">
        <f aca="false">HYPERLINK("https://item.taobao.com/item.htm?id=781764816472","打开订单商品")</f>
        <v>打开订单商品</v>
      </c>
    </row>
    <row r="34" customFormat="false" ht="78" hidden="false" customHeight="true" outlineLevel="0" collapsed="false">
      <c r="A34" s="33" t="s">
        <v>646</v>
      </c>
      <c r="B34" s="33" t="s">
        <v>1048</v>
      </c>
      <c r="C34" s="33" t="s">
        <v>1014</v>
      </c>
      <c r="D34" s="42" t="n">
        <v>1</v>
      </c>
      <c r="E34" s="39" t="n">
        <f aca="false">配件与耗材!K22</f>
        <v>3.42</v>
      </c>
      <c r="F34" s="40" t="n">
        <f aca="false">D34*E34</f>
        <v>3.42</v>
      </c>
      <c r="G34" s="33" t="s">
        <v>651</v>
      </c>
      <c r="H34" s="41" t="str">
        <f aca="false">HYPERLINK("https://item.taobao.com/item.htm?id=736162720327","打开订单商品")</f>
        <v>打开订单商品</v>
      </c>
    </row>
    <row r="35" customFormat="false" ht="78" hidden="false" customHeight="true" outlineLevel="0" collapsed="false">
      <c r="A35" s="33" t="s">
        <v>653</v>
      </c>
      <c r="B35" s="33" t="s">
        <v>1049</v>
      </c>
      <c r="C35" s="33" t="s">
        <v>1014</v>
      </c>
      <c r="D35" s="42" t="n">
        <v>1</v>
      </c>
      <c r="E35" s="39" t="n">
        <f aca="false">配件与耗材!K23</f>
        <v>0.99</v>
      </c>
      <c r="F35" s="40" t="n">
        <f aca="false">D35*E35</f>
        <v>0.99</v>
      </c>
      <c r="G35" s="33" t="s">
        <v>658</v>
      </c>
      <c r="H35" s="41" t="str">
        <f aca="false">HYPERLINK("https://item.taobao.com/item.htm?id=945215173380","打开订单商品")</f>
        <v>打开订单商品</v>
      </c>
    </row>
    <row r="36" customFormat="false" ht="78" hidden="false" customHeight="true" outlineLevel="0" collapsed="false"/>
    <row r="37" customFormat="false" ht="78" hidden="false" customHeight="true" outlineLevel="0" collapsed="false"/>
    <row r="38" customFormat="false" ht="78" hidden="false" customHeight="true" outlineLevel="0" collapsed="false"/>
    <row r="39" customFormat="false" ht="78" hidden="false" customHeight="true" outlineLevel="0" collapsed="false"/>
    <row r="40" customFormat="false" ht="78" hidden="false" customHeight="true" outlineLevel="0" collapsed="false"/>
    <row r="41" customFormat="false" ht="78" hidden="false" customHeight="true" outlineLevel="0" collapsed="false"/>
    <row r="42" customFormat="false" ht="78" hidden="false" customHeight="true" outlineLevel="0" collapsed="false"/>
  </sheetData>
  <mergeCells count="3">
    <mergeCell ref="A2:F2"/>
    <mergeCell ref="A3:H3"/>
    <mergeCell ref="A9:H9"/>
  </mergeCell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tableParts>
    <tablePart r:id="rId1"/>
  </tableParts>
</worksheet>
</file>

<file path=docProps/app.xml><?xml version="1.0" encoding="utf-8"?>
<Properties xmlns="http://schemas.openxmlformats.org/officeDocument/2006/extended-properties" xmlns:vt="http://schemas.openxmlformats.org/officeDocument/2006/docPropsVTypes">
  <Template/>
  <TotalTime>0</TotalTime>
  <Application>LibreOfficeDev/26.8.0.0.alpha0$Linux_X86_64 LibreOffice_project/2c87e51eeaa2b413ff4ae097b2705eea1995d8e5</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en-US</dc:language>
  <cp:lastModifiedBy/>
  <cp:revision>0</cp:revision>
  <dc:subject/>
  <dc:title/>
</cp:coreProperties>
</file>